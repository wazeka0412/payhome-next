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提条件" sheetId="1" state="visible" r:id="rId1"/>
    <sheet xmlns:r="http://schemas.openxmlformats.org/officeDocument/2006/relationships" name="悲観的シナリオ" sheetId="2" state="visible" r:id="rId2"/>
    <sheet xmlns:r="http://schemas.openxmlformats.org/officeDocument/2006/relationships" name="標準シナリオ" sheetId="3" state="visible" r:id="rId3"/>
    <sheet xmlns:r="http://schemas.openxmlformats.org/officeDocument/2006/relationships" name="楽観的シナリオ" sheetId="4" state="visible" r:id="rId4"/>
    <sheet xmlns:r="http://schemas.openxmlformats.org/officeDocument/2006/relationships" name="3シナリオ比較" sheetId="5" state="visible" r:id="rId5"/>
    <sheet xmlns:r="http://schemas.openxmlformats.org/officeDocument/2006/relationships" name="売上推移データ" sheetId="6" state="visible" r:id="rId6"/>
    <sheet xmlns:r="http://schemas.openxmlformats.org/officeDocument/2006/relationships" name="悲観的_詳細" sheetId="7" state="visible" r:id="rId7"/>
    <sheet xmlns:r="http://schemas.openxmlformats.org/officeDocument/2006/relationships" name="標準_詳細" sheetId="8" state="visible" r:id="rId8"/>
    <sheet xmlns:r="http://schemas.openxmlformats.org/officeDocument/2006/relationships" name="楽観的_詳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¥#,##0"/>
  </numFmts>
  <fonts count="11">
    <font>
      <name val="Calibri"/>
      <family val="2"/>
      <color theme="1"/>
      <sz val="11"/>
      <scheme val="minor"/>
    </font>
    <font>
      <name val="Arial"/>
      <b val="1"/>
      <color rgb="002E4057"/>
      <sz val="18"/>
    </font>
    <font>
      <name val="Arial"/>
      <b val="1"/>
      <color rgb="00E8740C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E74C3C"/>
      <sz val="10"/>
    </font>
    <font>
      <name val="Arial"/>
      <color rgb="0027AE60"/>
      <sz val="10"/>
    </font>
    <font>
      <name val="Arial"/>
      <color rgb="002980B9"/>
      <sz val="10"/>
    </font>
    <font>
      <name val="Arial"/>
      <b val="1"/>
      <color rgb="002E4057"/>
      <sz val="16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3E6"/>
      </patternFill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3" fontId="5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5" fillId="0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5" fillId="5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pivotButton="0" quotePrefix="0" xfId="0"/>
    <xf numFmtId="3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3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9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月次売上推移（3シナリオ比較）</a:t>
            </a:r>
          </a:p>
        </rich>
      </tx>
    </title>
    <plotArea>
      <lineChart>
        <grouping val="standard"/>
        <ser>
          <idx val="0"/>
          <order val="0"/>
          <tx>
            <strRef>
              <f>'売上推移データ'!E1</f>
            </strRef>
          </tx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'売上推移データ'!$E$2:$E$13</f>
            </numRef>
          </val>
        </ser>
        <ser>
          <idx val="1"/>
          <order val="1"/>
          <tx>
            <strRef>
              <f>'売上推移データ'!F1</f>
            </strRef>
          </tx>
          <spPr>
            <a:ln xmlns:a="http://schemas.openxmlformats.org/drawingml/2006/main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'売上推移データ'!$F$2:$F$13</f>
            </numRef>
          </val>
        </ser>
        <ser>
          <idx val="2"/>
          <order val="2"/>
          <tx>
            <strRef>
              <f>'売上推移データ'!G1</f>
            </strRef>
          </tx>
          <spPr>
            <a:ln xmlns:a="http://schemas.openxmlformats.org/drawingml/2006/main">
              <a:solidFill>
                <a:srgbClr val="2980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累計売上推移（3シナリオ比較）</a:t>
            </a:r>
          </a:p>
        </rich>
      </tx>
    </title>
    <plotArea>
      <lineChart>
        <grouping val="standard"/>
        <ser>
          <idx val="0"/>
          <order val="0"/>
          <tx>
            <strRef>
              <f>'売上推移データ'!B1</f>
            </strRef>
          </tx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'売上推移データ'!$B$2:$B$13</f>
            </numRef>
          </val>
        </ser>
        <ser>
          <idx val="1"/>
          <order val="1"/>
          <tx>
            <strRef>
              <f>'売上推移データ'!C1</f>
            </strRef>
          </tx>
          <spPr>
            <a:ln xmlns:a="http://schemas.openxmlformats.org/drawingml/2006/main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'売上推移データ'!$C$2:$C$13</f>
            </numRef>
          </val>
        </ser>
        <ser>
          <idx val="2"/>
          <order val="2"/>
          <tx>
            <strRef>
              <f>'売上推移データ'!D1</f>
            </strRef>
          </tx>
          <spPr>
            <a:ln xmlns:a="http://schemas.openxmlformats.org/drawingml/2006/main">
              <a:solidFill>
                <a:srgbClr val="2980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累計売上（円）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45" customWidth="1" min="5" max="5"/>
    <col width="15" customWidth="1" min="6" max="6"/>
  </cols>
  <sheetData>
    <row r="1" ht="40" customHeight="1">
      <c r="A1" s="1" t="inlineStr">
        <is>
          <t>ぺいほーむ 鹿児島プラットフォーム事業 推定モデル</t>
        </is>
      </c>
    </row>
    <row r="3" ht="28" customHeight="1">
      <c r="A3" s="2" t="inlineStr">
        <is>
          <t>鹿児島県 市場データ</t>
        </is>
      </c>
    </row>
    <row r="4">
      <c r="A4" s="3" t="inlineStr">
        <is>
          <t>項目</t>
        </is>
      </c>
      <c r="B4" s="3" t="inlineStr">
        <is>
          <t>数値</t>
        </is>
      </c>
      <c r="C4" s="3" t="inlineStr">
        <is>
          <t>出典</t>
        </is>
      </c>
    </row>
    <row r="5">
      <c r="A5" s="4" t="inlineStr">
        <is>
          <t>鹿児島県 年間新設住宅着工戸数</t>
        </is>
      </c>
      <c r="B5" s="5" t="inlineStr">
        <is>
          <t>約7,900戸/年（月間660戸）</t>
        </is>
      </c>
      <c r="C5" s="5" t="inlineStr">
        <is>
          <t>鹿児島県統計</t>
        </is>
      </c>
    </row>
    <row r="6">
      <c r="A6" s="6" t="inlineStr">
        <is>
          <t>うち持家（注文住宅）</t>
        </is>
      </c>
      <c r="B6" s="7" t="inlineStr">
        <is>
          <t>約3,000〜3,500戸/年</t>
        </is>
      </c>
      <c r="C6" s="7" t="inlineStr">
        <is>
          <t>推定（全体の40〜45%）</t>
        </is>
      </c>
    </row>
    <row r="7">
      <c r="A7" s="4" t="inlineStr">
        <is>
          <t>うち平屋の割合</t>
        </is>
      </c>
      <c r="B7" s="5" t="inlineStr">
        <is>
          <t>約30〜40%（九州は平屋比率が高い）</t>
        </is>
      </c>
      <c r="C7" s="5" t="inlineStr">
        <is>
          <t>業界推定</t>
        </is>
      </c>
    </row>
    <row r="8">
      <c r="A8" s="6" t="inlineStr">
        <is>
          <t>年間平屋着工戸数（推定）</t>
        </is>
      </c>
      <c r="B8" s="7" t="inlineStr">
        <is>
          <t>約900〜1,400戸/年</t>
        </is>
      </c>
      <c r="C8" s="7" t="inlineStr">
        <is>
          <t>持家×平屋比率</t>
        </is>
      </c>
    </row>
    <row r="9">
      <c r="A9" s="4" t="inlineStr">
        <is>
          <t>平屋を積極施工する工務店</t>
        </is>
      </c>
      <c r="B9" s="5" t="inlineStr">
        <is>
          <t>約30〜50社</t>
        </is>
      </c>
      <c r="C9" s="5" t="inlineStr">
        <is>
          <t>イエタッタ・カゴスマ調査</t>
        </is>
      </c>
    </row>
    <row r="10">
      <c r="A10" s="6" t="inlineStr">
        <is>
          <t>平屋対応可能な工務店</t>
        </is>
      </c>
      <c r="B10" s="7" t="inlineStr">
        <is>
          <t>約100〜150社</t>
        </is>
      </c>
      <c r="C10" s="7" t="inlineStr">
        <is>
          <t>建設業許可業者名簿から推定</t>
        </is>
      </c>
    </row>
    <row r="11">
      <c r="A11" s="4" t="inlineStr">
        <is>
          <t>平屋1棟あたり平均契約金額</t>
        </is>
      </c>
      <c r="B11" s="5" t="inlineStr">
        <is>
          <t>約2,000〜3,000万円</t>
        </is>
      </c>
      <c r="C11" s="5" t="inlineStr">
        <is>
          <t>業界平均</t>
        </is>
      </c>
    </row>
    <row r="12">
      <c r="A12" s="5" t="inlineStr"/>
      <c r="B12" s="5" t="inlineStr"/>
      <c r="C12" s="5" t="inlineStr"/>
    </row>
    <row r="13">
      <c r="A13" s="4" t="inlineStr">
        <is>
          <t>ぺいほーむYouTube 既知の契約実績</t>
        </is>
      </c>
      <c r="B13" s="5" t="inlineStr">
        <is>
          <t>年間10〜20棟（鹿児島県内）</t>
        </is>
      </c>
      <c r="C13" s="5" t="inlineStr">
        <is>
          <t>自社把握分</t>
        </is>
      </c>
    </row>
    <row r="14">
      <c r="A14" s="6" t="inlineStr">
        <is>
          <t>潜在的な未報告契約</t>
        </is>
      </c>
      <c r="B14" s="7" t="inlineStr">
        <is>
          <t>年間10〜20棟（推定）</t>
        </is>
      </c>
      <c r="C14" s="7" t="inlineStr">
        <is>
          <t>報告なし層の推定</t>
        </is>
      </c>
    </row>
    <row r="15">
      <c r="A15" s="4" t="inlineStr">
        <is>
          <t>YouTube登録者数</t>
        </is>
      </c>
      <c r="B15" s="5" t="inlineStr">
        <is>
          <t>42,841人</t>
        </is>
      </c>
      <c r="C15" s="5" t="inlineStr">
        <is>
          <t>2026年3月時点</t>
        </is>
      </c>
    </row>
    <row r="16">
      <c r="A16" s="6" t="inlineStr">
        <is>
          <t>月間視聴回数</t>
        </is>
      </c>
      <c r="B16" s="7" t="inlineStr">
        <is>
          <t>15万回以上</t>
        </is>
      </c>
      <c r="C16" s="7" t="inlineStr">
        <is>
          <t>2026年3月時点</t>
        </is>
      </c>
    </row>
    <row r="17">
      <c r="A17" s="4" t="inlineStr">
        <is>
          <t>動画本数</t>
        </is>
      </c>
      <c r="B17" s="5" t="inlineStr">
        <is>
          <t>257本</t>
        </is>
      </c>
      <c r="C17" s="5" t="inlineStr">
        <is>
          <t>2026年3月時点</t>
        </is>
      </c>
    </row>
    <row r="20">
      <c r="A20" s="2" t="inlineStr">
        <is>
          <t>シナリオ別 前提条件</t>
        </is>
      </c>
    </row>
    <row r="21">
      <c r="A21" s="3" t="inlineStr">
        <is>
          <t>前提条件</t>
        </is>
      </c>
      <c r="B21" s="3" t="inlineStr">
        <is>
          <t>悲観的</t>
        </is>
      </c>
      <c r="C21" s="3" t="inlineStr">
        <is>
          <t>標準</t>
        </is>
      </c>
      <c r="D21" s="3" t="inlineStr">
        <is>
          <t>楽観的</t>
        </is>
      </c>
      <c r="E21" s="3" t="inlineStr">
        <is>
          <t>根拠</t>
        </is>
      </c>
    </row>
    <row r="22">
      <c r="A22" s="4" t="inlineStr">
        <is>
          <t>フリープラン申込社数（5月）</t>
        </is>
      </c>
      <c r="B22" s="8" t="n">
        <v>8</v>
      </c>
      <c r="C22" s="9" t="n">
        <v>20</v>
      </c>
      <c r="D22" s="10" t="n">
        <v>30</v>
      </c>
      <c r="E22" s="5" t="inlineStr">
        <is>
          <t>ターゲット30〜50社のうちの獲得率</t>
        </is>
      </c>
    </row>
    <row r="23">
      <c r="A23" s="4" t="inlineStr">
        <is>
          <t>フリープラン→有料 転換率</t>
        </is>
      </c>
      <c r="B23" s="11" t="inlineStr">
        <is>
          <t>40%</t>
        </is>
      </c>
      <c r="C23" s="12" t="inlineStr">
        <is>
          <t>60%</t>
        </is>
      </c>
      <c r="D23" s="13" t="inlineStr">
        <is>
          <t>75%</t>
        </is>
      </c>
      <c r="E23" s="5" t="inlineStr">
        <is>
          <t>SaaS業界のフリーミアム転換率は一般に5〜15%だが、直接営業のため高い</t>
        </is>
      </c>
    </row>
    <row r="24">
      <c r="A24" s="4" t="inlineStr">
        <is>
          <t>有料移行社数（8月）</t>
        </is>
      </c>
      <c r="B24" s="8" t="n">
        <v>3</v>
      </c>
      <c r="C24" s="9" t="n">
        <v>12</v>
      </c>
      <c r="D24" s="10" t="n">
        <v>22</v>
      </c>
      <c r="E24" s="5" t="inlineStr">
        <is>
          <t>申込社数×転換率</t>
        </is>
      </c>
    </row>
    <row r="25">
      <c r="A25" s="4" t="inlineStr">
        <is>
          <t>月間追加掲載社数（9月〜）</t>
        </is>
      </c>
      <c r="B25" s="8" t="n">
        <v>1</v>
      </c>
      <c r="C25" s="9" t="n">
        <v>2</v>
      </c>
      <c r="D25" s="10" t="n">
        <v>3</v>
      </c>
      <c r="E25" s="5" t="inlineStr">
        <is>
          <t>継続営業による新規獲得</t>
        </is>
      </c>
    </row>
    <row r="26">
      <c r="A26" s="4" t="inlineStr">
        <is>
          <t>掲載企業あたり月間PV</t>
        </is>
      </c>
      <c r="B26" s="8" t="n">
        <v>50</v>
      </c>
      <c r="C26" s="9" t="n">
        <v>150</v>
      </c>
      <c r="D26" s="10" t="n">
        <v>300</v>
      </c>
      <c r="E26" s="5" t="inlineStr">
        <is>
          <t>YouTube→PF送客＋SEO流入</t>
        </is>
      </c>
    </row>
    <row r="27">
      <c r="A27" s="4" t="inlineStr">
        <is>
          <t>掲載企業あたり月間リード数</t>
        </is>
      </c>
      <c r="B27" s="8" t="n">
        <v>0.5</v>
      </c>
      <c r="C27" s="9" t="n">
        <v>1.5</v>
      </c>
      <c r="D27" s="10" t="n">
        <v>3</v>
      </c>
      <c r="E27" s="5" t="inlineStr">
        <is>
          <t>PV→リード転換率1〜2%</t>
        </is>
      </c>
    </row>
    <row r="28">
      <c r="A28" s="4" t="inlineStr">
        <is>
          <t>リード→成約 転換率</t>
        </is>
      </c>
      <c r="B28" s="11" t="inlineStr">
        <is>
          <t>3%</t>
        </is>
      </c>
      <c r="C28" s="12" t="inlineStr">
        <is>
          <t>5%</t>
        </is>
      </c>
      <c r="D28" s="13" t="inlineStr">
        <is>
          <t>8%</t>
        </is>
      </c>
      <c r="E28" s="5" t="inlineStr">
        <is>
          <t>業界平均3〜10%</t>
        </is>
      </c>
    </row>
    <row r="29">
      <c r="A29" s="4" t="inlineStr">
        <is>
          <t>成約報酬の回収率</t>
        </is>
      </c>
      <c r="B29" s="11" t="inlineStr">
        <is>
          <t>50%</t>
        </is>
      </c>
      <c r="C29" s="12" t="inlineStr">
        <is>
          <t>70%</t>
        </is>
      </c>
      <c r="D29" s="13" t="inlineStr">
        <is>
          <t>90%</t>
        </is>
      </c>
      <c r="E29" s="5" t="inlineStr">
        <is>
          <t>消費者フォローの精度による</t>
        </is>
      </c>
    </row>
    <row r="30">
      <c r="A30" s="4" t="inlineStr">
        <is>
          <t>月間解約率</t>
        </is>
      </c>
      <c r="B30" s="11" t="inlineStr">
        <is>
          <t>5%</t>
        </is>
      </c>
      <c r="C30" s="12" t="inlineStr">
        <is>
          <t>3%</t>
        </is>
      </c>
      <c r="D30" s="13" t="inlineStr">
        <is>
          <t>1%</t>
        </is>
      </c>
      <c r="E30" s="5" t="inlineStr">
        <is>
          <t>SaaS業界平均3〜7%</t>
        </is>
      </c>
    </row>
    <row r="31">
      <c r="A31" s="4" t="inlineStr">
        <is>
          <t>平均契約単価（住宅）</t>
        </is>
      </c>
      <c r="B31" s="11" t="inlineStr">
        <is>
          <t>2,200万円</t>
        </is>
      </c>
      <c r="C31" s="12" t="inlineStr">
        <is>
          <t>2,500万円</t>
        </is>
      </c>
      <c r="D31" s="13" t="inlineStr">
        <is>
          <t>2,800万円</t>
        </is>
      </c>
      <c r="E31" s="5" t="inlineStr">
        <is>
          <t>鹿児島の平屋相場</t>
        </is>
      </c>
    </row>
    <row r="32">
      <c r="A32" s="4" t="inlineStr">
        <is>
          <t>YouTube経由の年間契約棟数</t>
        </is>
      </c>
      <c r="B32" s="8" t="n">
        <v>10</v>
      </c>
      <c r="C32" s="9" t="n">
        <v>15</v>
      </c>
      <c r="D32" s="10" t="n">
        <v>25</v>
      </c>
      <c r="E32" s="5" t="inlineStr">
        <is>
          <t>既知10〜20棟＋潜在層</t>
        </is>
      </c>
    </row>
    <row r="33">
      <c r="A33" s="4" t="inlineStr">
        <is>
          <t>PFによる契約上乗せ倍率</t>
        </is>
      </c>
      <c r="B33" s="11" t="inlineStr">
        <is>
          <t>1.0x</t>
        </is>
      </c>
      <c r="C33" s="12" t="inlineStr">
        <is>
          <t>1.5x</t>
        </is>
      </c>
      <c r="D33" s="13" t="inlineStr">
        <is>
          <t>2.0x</t>
        </is>
      </c>
      <c r="E33" s="5" t="inlineStr">
        <is>
          <t>PF化による送客効率向上</t>
        </is>
      </c>
    </row>
  </sheetData>
  <mergeCells count="3">
    <mergeCell ref="A3:F3"/>
    <mergeCell ref="A20:F2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5" customHeight="1">
      <c r="A1" s="1" t="inlineStr">
        <is>
          <t>悲観的シナリオ — 月次推移</t>
        </is>
      </c>
    </row>
    <row r="2">
      <c r="A2" s="14" t="inlineStr">
        <is>
          <t>前提：フリープラン8社、有料転換40%（3社）、月間リード0.5件/社、成約転換3%、回収率50%</t>
        </is>
      </c>
    </row>
    <row r="4">
      <c r="A4" s="3" t="inlineStr">
        <is>
          <t>指標</t>
        </is>
      </c>
      <c r="B4" s="3" t="inlineStr">
        <is>
          <t>4月</t>
        </is>
      </c>
      <c r="C4" s="3" t="inlineStr">
        <is>
          <t>5月</t>
        </is>
      </c>
      <c r="D4" s="3" t="inlineStr">
        <is>
          <t>6月</t>
        </is>
      </c>
      <c r="E4" s="3" t="inlineStr">
        <is>
          <t>7月</t>
        </is>
      </c>
      <c r="F4" s="3" t="inlineStr">
        <is>
          <t>8月</t>
        </is>
      </c>
      <c r="G4" s="3" t="inlineStr">
        <is>
          <t>9月</t>
        </is>
      </c>
      <c r="H4" s="3" t="inlineStr">
        <is>
          <t>10月</t>
        </is>
      </c>
      <c r="I4" s="3" t="inlineStr">
        <is>
          <t>11月</t>
        </is>
      </c>
      <c r="J4" s="3" t="inlineStr">
        <is>
          <t>12月</t>
        </is>
      </c>
      <c r="K4" s="3" t="inlineStr">
        <is>
          <t>1月</t>
        </is>
      </c>
      <c r="L4" s="3" t="inlineStr">
        <is>
          <t>2月</t>
        </is>
      </c>
      <c r="M4" s="3" t="inlineStr">
        <is>
          <t>3月</t>
        </is>
      </c>
    </row>
    <row r="5">
      <c r="A5" s="5" t="inlineStr">
        <is>
          <t>掲載社数（累計）</t>
        </is>
      </c>
      <c r="B5" s="15" t="n">
        <v>0</v>
      </c>
      <c r="C5" s="15" t="n">
        <v>8</v>
      </c>
      <c r="D5" s="15" t="n">
        <v>8</v>
      </c>
      <c r="E5" s="15" t="n">
        <v>8</v>
      </c>
      <c r="F5" s="15" t="n">
        <v>3</v>
      </c>
      <c r="G5" s="15" t="n">
        <v>4</v>
      </c>
      <c r="H5" s="15" t="n">
        <v>5</v>
      </c>
      <c r="I5" s="15" t="n">
        <v>6</v>
      </c>
      <c r="J5" s="15" t="n">
        <v>7</v>
      </c>
      <c r="K5" s="15" t="n">
        <v>8</v>
      </c>
      <c r="L5" s="15" t="n">
        <v>9</v>
      </c>
      <c r="M5" s="15" t="n">
        <v>10</v>
      </c>
    </row>
    <row r="6">
      <c r="A6" s="7" t="inlineStr">
        <is>
          <t>うちフリープラン</t>
        </is>
      </c>
      <c r="B6" s="16" t="n">
        <v>0</v>
      </c>
      <c r="C6" s="16" t="n">
        <v>8</v>
      </c>
      <c r="D6" s="16" t="n">
        <v>8</v>
      </c>
      <c r="E6" s="16" t="n">
        <v>8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</row>
    <row r="7">
      <c r="A7" s="5" t="inlineStr">
        <is>
          <t>うち有料プラン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</row>
    <row r="8">
      <c r="A8" s="7" t="inlineStr">
        <is>
          <t>月間PV（全社合計）</t>
        </is>
      </c>
      <c r="B8" s="16" t="n">
        <v>0</v>
      </c>
      <c r="C8" s="16" t="n">
        <v>400</v>
      </c>
      <c r="D8" s="16" t="n">
        <v>500</v>
      </c>
      <c r="E8" s="16" t="n">
        <v>600</v>
      </c>
      <c r="F8" s="16" t="n">
        <v>150</v>
      </c>
      <c r="G8" s="16" t="n">
        <v>250</v>
      </c>
      <c r="H8" s="16" t="n">
        <v>350</v>
      </c>
      <c r="I8" s="16" t="n">
        <v>450</v>
      </c>
      <c r="J8" s="16" t="n">
        <v>550</v>
      </c>
      <c r="K8" s="16" t="n">
        <v>650</v>
      </c>
      <c r="L8" s="16" t="n">
        <v>750</v>
      </c>
      <c r="M8" s="16" t="n">
        <v>850</v>
      </c>
    </row>
    <row r="9">
      <c r="A9" s="5" t="inlineStr">
        <is>
          <t>月間リード数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2</v>
      </c>
      <c r="G9" s="15" t="n">
        <v>2</v>
      </c>
      <c r="H9" s="15" t="n">
        <v>3</v>
      </c>
      <c r="I9" s="15" t="n">
        <v>3</v>
      </c>
      <c r="J9" s="15" t="n">
        <v>4</v>
      </c>
      <c r="K9" s="15" t="n">
        <v>4</v>
      </c>
      <c r="L9" s="15" t="n">
        <v>5</v>
      </c>
      <c r="M9" s="15" t="n">
        <v>5</v>
      </c>
    </row>
    <row r="10">
      <c r="A10" s="7" t="inlineStr">
        <is>
          <t>累計リード数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2</v>
      </c>
      <c r="G10" s="16" t="n">
        <v>4</v>
      </c>
      <c r="H10" s="16" t="n">
        <v>7</v>
      </c>
      <c r="I10" s="16" t="n">
        <v>10</v>
      </c>
      <c r="J10" s="16" t="n">
        <v>14</v>
      </c>
      <c r="K10" s="16" t="n">
        <v>18</v>
      </c>
      <c r="L10" s="16" t="n">
        <v>23</v>
      </c>
      <c r="M10" s="16" t="n">
        <v>28</v>
      </c>
    </row>
    <row r="11">
      <c r="A11" s="5" t="inlineStr">
        <is>
          <t>月間成約数（推定）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1</v>
      </c>
      <c r="J11" s="15" t="n">
        <v>0</v>
      </c>
      <c r="K11" s="15" t="n">
        <v>1</v>
      </c>
      <c r="L11" s="15" t="n">
        <v>0</v>
      </c>
      <c r="M11" s="15" t="n">
        <v>1</v>
      </c>
    </row>
    <row r="12">
      <c r="A12" s="7" t="inlineStr">
        <is>
          <t>累計成約数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1</v>
      </c>
      <c r="J12" s="16" t="n">
        <v>1</v>
      </c>
      <c r="K12" s="16" t="n">
        <v>2</v>
      </c>
      <c r="L12" s="16" t="n">
        <v>2</v>
      </c>
      <c r="M12" s="16" t="n">
        <v>3</v>
      </c>
    </row>
    <row r="13">
      <c r="A13" s="4" t="inlineStr"/>
    </row>
    <row r="14">
      <c r="A14" s="6" t="inlineStr">
        <is>
          <t>【収益内訳】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5" t="inlineStr">
        <is>
          <t>資料請求収益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8" t="n">
        <v>8000</v>
      </c>
      <c r="G15" s="18" t="n">
        <v>8000</v>
      </c>
      <c r="H15" s="18" t="n">
        <v>12000</v>
      </c>
      <c r="I15" s="18" t="n">
        <v>12000</v>
      </c>
      <c r="J15" s="18" t="n">
        <v>16000</v>
      </c>
      <c r="K15" s="18" t="n">
        <v>16000</v>
      </c>
      <c r="L15" s="18" t="n">
        <v>20000</v>
      </c>
      <c r="M15" s="18" t="n">
        <v>20000</v>
      </c>
    </row>
    <row r="16">
      <c r="A16" s="7" t="inlineStr">
        <is>
          <t>見学会来場収益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9" t="n">
        <v>80000</v>
      </c>
      <c r="H16" s="16" t="n">
        <v>0</v>
      </c>
      <c r="I16" s="19" t="n">
        <v>80000</v>
      </c>
      <c r="J16" s="19" t="n">
        <v>80000</v>
      </c>
      <c r="K16" s="19" t="n">
        <v>80000</v>
      </c>
      <c r="L16" s="19" t="n">
        <v>80000</v>
      </c>
      <c r="M16" s="19" t="n">
        <v>160000</v>
      </c>
    </row>
    <row r="17">
      <c r="A17" s="5" t="inlineStr">
        <is>
          <t>成約報酬（回収分）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8" t="n">
        <v>440000</v>
      </c>
      <c r="J17" s="15" t="n">
        <v>0</v>
      </c>
      <c r="K17" s="18" t="n">
        <v>440000</v>
      </c>
      <c r="L17" s="15" t="n">
        <v>0</v>
      </c>
      <c r="M17" s="18" t="n">
        <v>440000</v>
      </c>
    </row>
    <row r="18">
      <c r="A18" s="7" t="inlineStr">
        <is>
          <t>月額掲載料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9" t="n">
        <v>60000</v>
      </c>
      <c r="G18" s="19" t="n">
        <v>80000</v>
      </c>
      <c r="H18" s="19" t="n">
        <v>100000</v>
      </c>
      <c r="I18" s="19" t="n">
        <v>120000</v>
      </c>
      <c r="J18" s="19" t="n">
        <v>140000</v>
      </c>
      <c r="K18" s="19" t="n">
        <v>160000</v>
      </c>
      <c r="L18" s="19" t="n">
        <v>180000</v>
      </c>
      <c r="M18" s="19" t="n">
        <v>200000</v>
      </c>
    </row>
    <row r="19">
      <c r="A19" s="5" t="inlineStr">
        <is>
          <t>月間売上合計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8" t="n">
        <v>68000</v>
      </c>
      <c r="G19" s="18" t="n">
        <v>168000</v>
      </c>
      <c r="H19" s="18" t="n">
        <v>112000</v>
      </c>
      <c r="I19" s="18" t="n">
        <v>652000</v>
      </c>
      <c r="J19" s="18" t="n">
        <v>236000</v>
      </c>
      <c r="K19" s="18" t="n">
        <v>696000</v>
      </c>
      <c r="L19" s="18" t="n">
        <v>280000</v>
      </c>
      <c r="M19" s="18" t="n">
        <v>820000</v>
      </c>
    </row>
    <row r="20">
      <c r="A20" s="7" t="inlineStr">
        <is>
          <t>累計売上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9" t="n">
        <v>68000</v>
      </c>
      <c r="G20" s="19" t="n">
        <v>236000</v>
      </c>
      <c r="H20" s="19" t="n">
        <v>348000</v>
      </c>
      <c r="I20" s="19" t="n">
        <v>1000000</v>
      </c>
      <c r="J20" s="19" t="n">
        <v>1236000</v>
      </c>
      <c r="K20" s="19" t="n">
        <v>1932000</v>
      </c>
      <c r="L20" s="19" t="n">
        <v>2212000</v>
      </c>
      <c r="M20" s="19" t="n">
        <v>3032000</v>
      </c>
    </row>
    <row r="23">
      <c r="A23" s="20" t="inlineStr">
        <is>
          <t>年間サマリー（悲観的）</t>
        </is>
      </c>
    </row>
    <row r="24">
      <c r="A24" s="3" t="inlineStr">
        <is>
          <t>指標</t>
        </is>
      </c>
      <c r="B24" s="3" t="inlineStr">
        <is>
          <t>数値</t>
        </is>
      </c>
    </row>
    <row r="25">
      <c r="A25" s="4" t="inlineStr">
        <is>
          <t>年間売上合計</t>
        </is>
      </c>
      <c r="B25" s="21" t="n">
        <v>3032000</v>
      </c>
    </row>
    <row r="26">
      <c r="A26" s="4" t="inlineStr">
        <is>
          <t>年間リード数</t>
        </is>
      </c>
      <c r="B26" s="21" t="n">
        <v>28</v>
      </c>
    </row>
    <row r="27">
      <c r="A27" s="4" t="inlineStr">
        <is>
          <t>年間成約数（推定）</t>
        </is>
      </c>
      <c r="B27" s="21" t="n">
        <v>3</v>
      </c>
    </row>
    <row r="28">
      <c r="A28" s="4" t="inlineStr">
        <is>
          <t>リード単価（平均）</t>
        </is>
      </c>
      <c r="B28" s="21" t="n">
        <v>108286</v>
      </c>
    </row>
    <row r="29">
      <c r="A29" s="4" t="inlineStr">
        <is>
          <t>成約1件あたりコスト（ぺいほーむ側）</t>
        </is>
      </c>
      <c r="B29" s="21" t="n">
        <v>0</v>
      </c>
    </row>
    <row r="30">
      <c r="A30" s="4" t="inlineStr">
        <is>
          <t>成約1件あたり報酬（平均）</t>
        </is>
      </c>
      <c r="B30" s="21" t="n">
        <v>440000</v>
      </c>
    </row>
    <row r="31">
      <c r="A31" s="4" t="inlineStr">
        <is>
          <t>年末掲載社数</t>
        </is>
      </c>
      <c r="B31" s="21" t="n">
        <v>10</v>
      </c>
    </row>
    <row r="32">
      <c r="A32" s="4" t="inlineStr">
        <is>
          <t>ARPU（有料社あたり月売上）</t>
        </is>
      </c>
      <c r="B32" s="21" t="n">
        <v>25267</v>
      </c>
    </row>
  </sheetData>
  <mergeCells count="3">
    <mergeCell ref="A1:P1"/>
    <mergeCell ref="A23:D2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標準シナリオ — 月次推移</t>
        </is>
      </c>
    </row>
    <row r="2">
      <c r="A2" s="22" t="inlineStr">
        <is>
          <t>前提：フリープラン20社、有料転換60%（12社）、月間リード1.5件/社、成約転換5%、回収率70%</t>
        </is>
      </c>
    </row>
    <row r="4">
      <c r="A4" s="3" t="inlineStr">
        <is>
          <t>指標</t>
        </is>
      </c>
      <c r="B4" s="3" t="inlineStr">
        <is>
          <t>4月</t>
        </is>
      </c>
      <c r="C4" s="3" t="inlineStr">
        <is>
          <t>5月</t>
        </is>
      </c>
      <c r="D4" s="3" t="inlineStr">
        <is>
          <t>6月</t>
        </is>
      </c>
      <c r="E4" s="3" t="inlineStr">
        <is>
          <t>7月</t>
        </is>
      </c>
      <c r="F4" s="3" t="inlineStr">
        <is>
          <t>8月</t>
        </is>
      </c>
      <c r="G4" s="3" t="inlineStr">
        <is>
          <t>9月</t>
        </is>
      </c>
      <c r="H4" s="3" t="inlineStr">
        <is>
          <t>10月</t>
        </is>
      </c>
      <c r="I4" s="3" t="inlineStr">
        <is>
          <t>11月</t>
        </is>
      </c>
      <c r="J4" s="3" t="inlineStr">
        <is>
          <t>12月</t>
        </is>
      </c>
      <c r="K4" s="3" t="inlineStr">
        <is>
          <t>1月</t>
        </is>
      </c>
      <c r="L4" s="3" t="inlineStr">
        <is>
          <t>2月</t>
        </is>
      </c>
      <c r="M4" s="3" t="inlineStr">
        <is>
          <t>3月</t>
        </is>
      </c>
    </row>
    <row r="5">
      <c r="A5" s="5" t="inlineStr">
        <is>
          <t>掲載社数（累計）</t>
        </is>
      </c>
      <c r="B5" s="15" t="n">
        <v>0</v>
      </c>
      <c r="C5" s="15" t="n">
        <v>20</v>
      </c>
      <c r="D5" s="15" t="n">
        <v>20</v>
      </c>
      <c r="E5" s="15" t="n">
        <v>20</v>
      </c>
      <c r="F5" s="15" t="n">
        <v>12</v>
      </c>
      <c r="G5" s="15" t="n">
        <v>14</v>
      </c>
      <c r="H5" s="15" t="n">
        <v>16</v>
      </c>
      <c r="I5" s="15" t="n">
        <v>18</v>
      </c>
      <c r="J5" s="15" t="n">
        <v>20</v>
      </c>
      <c r="K5" s="15" t="n">
        <v>22</v>
      </c>
      <c r="L5" s="15" t="n">
        <v>24</v>
      </c>
      <c r="M5" s="15" t="n">
        <v>26</v>
      </c>
    </row>
    <row r="6">
      <c r="A6" s="7" t="inlineStr">
        <is>
          <t>うちフリープラン</t>
        </is>
      </c>
      <c r="B6" s="16" t="n">
        <v>0</v>
      </c>
      <c r="C6" s="16" t="n">
        <v>20</v>
      </c>
      <c r="D6" s="16" t="n">
        <v>20</v>
      </c>
      <c r="E6" s="16" t="n">
        <v>20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</row>
    <row r="7">
      <c r="A7" s="5" t="inlineStr">
        <is>
          <t>うち有料プラン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12</v>
      </c>
      <c r="G7" s="15" t="n">
        <v>14</v>
      </c>
      <c r="H7" s="15" t="n">
        <v>16</v>
      </c>
      <c r="I7" s="15" t="n">
        <v>18</v>
      </c>
      <c r="J7" s="15" t="n">
        <v>20</v>
      </c>
      <c r="K7" s="15" t="n">
        <v>22</v>
      </c>
      <c r="L7" s="15" t="n">
        <v>24</v>
      </c>
      <c r="M7" s="15" t="n">
        <v>26</v>
      </c>
    </row>
    <row r="8">
      <c r="A8" s="7" t="inlineStr">
        <is>
          <t>月間PV（全社合計）</t>
        </is>
      </c>
      <c r="B8" s="16" t="n">
        <v>0</v>
      </c>
      <c r="C8" s="19" t="n">
        <v>3000</v>
      </c>
      <c r="D8" s="19" t="n">
        <v>3500</v>
      </c>
      <c r="E8" s="19" t="n">
        <v>4000</v>
      </c>
      <c r="F8" s="19" t="n">
        <v>1800</v>
      </c>
      <c r="G8" s="19" t="n">
        <v>2400</v>
      </c>
      <c r="H8" s="19" t="n">
        <v>3000</v>
      </c>
      <c r="I8" s="19" t="n">
        <v>3600</v>
      </c>
      <c r="J8" s="19" t="n">
        <v>4200</v>
      </c>
      <c r="K8" s="19" t="n">
        <v>4800</v>
      </c>
      <c r="L8" s="19" t="n">
        <v>5400</v>
      </c>
      <c r="M8" s="19" t="n">
        <v>6000</v>
      </c>
    </row>
    <row r="9">
      <c r="A9" s="5" t="inlineStr">
        <is>
          <t>月間リード数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18</v>
      </c>
      <c r="G9" s="15" t="n">
        <v>21</v>
      </c>
      <c r="H9" s="15" t="n">
        <v>24</v>
      </c>
      <c r="I9" s="15" t="n">
        <v>27</v>
      </c>
      <c r="J9" s="15" t="n">
        <v>30</v>
      </c>
      <c r="K9" s="15" t="n">
        <v>33</v>
      </c>
      <c r="L9" s="15" t="n">
        <v>36</v>
      </c>
      <c r="M9" s="15" t="n">
        <v>39</v>
      </c>
    </row>
    <row r="10">
      <c r="A10" s="7" t="inlineStr">
        <is>
          <t>累計リード数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18</v>
      </c>
      <c r="G10" s="16" t="n">
        <v>39</v>
      </c>
      <c r="H10" s="16" t="n">
        <v>63</v>
      </c>
      <c r="I10" s="16" t="n">
        <v>90</v>
      </c>
      <c r="J10" s="16" t="n">
        <v>120</v>
      </c>
      <c r="K10" s="16" t="n">
        <v>153</v>
      </c>
      <c r="L10" s="16" t="n">
        <v>189</v>
      </c>
      <c r="M10" s="16" t="n">
        <v>228</v>
      </c>
    </row>
    <row r="11">
      <c r="A11" s="5" t="inlineStr">
        <is>
          <t>月間成約数（推定）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1</v>
      </c>
      <c r="G11" s="15" t="n">
        <v>1</v>
      </c>
      <c r="H11" s="15" t="n">
        <v>1</v>
      </c>
      <c r="I11" s="15" t="n">
        <v>2</v>
      </c>
      <c r="J11" s="15" t="n">
        <v>2</v>
      </c>
      <c r="K11" s="15" t="n">
        <v>2</v>
      </c>
      <c r="L11" s="15" t="n">
        <v>2</v>
      </c>
      <c r="M11" s="15" t="n">
        <v>2</v>
      </c>
    </row>
    <row r="12">
      <c r="A12" s="7" t="inlineStr">
        <is>
          <t>累計成約数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1</v>
      </c>
      <c r="G12" s="16" t="n">
        <v>2</v>
      </c>
      <c r="H12" s="16" t="n">
        <v>3</v>
      </c>
      <c r="I12" s="16" t="n">
        <v>5</v>
      </c>
      <c r="J12" s="16" t="n">
        <v>7</v>
      </c>
      <c r="K12" s="16" t="n">
        <v>9</v>
      </c>
      <c r="L12" s="16" t="n">
        <v>11</v>
      </c>
      <c r="M12" s="16" t="n">
        <v>13</v>
      </c>
    </row>
    <row r="13">
      <c r="A13" s="4" t="inlineStr"/>
    </row>
    <row r="14">
      <c r="A14" s="6" t="inlineStr">
        <is>
          <t>【収益内訳】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5" t="inlineStr">
        <is>
          <t>資料請求収益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8" t="n">
        <v>72000</v>
      </c>
      <c r="G15" s="18" t="n">
        <v>84000</v>
      </c>
      <c r="H15" s="18" t="n">
        <v>96000</v>
      </c>
      <c r="I15" s="18" t="n">
        <v>108000</v>
      </c>
      <c r="J15" s="18" t="n">
        <v>120000</v>
      </c>
      <c r="K15" s="18" t="n">
        <v>132000</v>
      </c>
      <c r="L15" s="18" t="n">
        <v>144000</v>
      </c>
      <c r="M15" s="18" t="n">
        <v>156000</v>
      </c>
    </row>
    <row r="16">
      <c r="A16" s="7" t="inlineStr">
        <is>
          <t>見学会来場収益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9" t="n">
        <v>240000</v>
      </c>
      <c r="G16" s="19" t="n">
        <v>280000</v>
      </c>
      <c r="H16" s="19" t="n">
        <v>320000</v>
      </c>
      <c r="I16" s="19" t="n">
        <v>400000</v>
      </c>
      <c r="J16" s="19" t="n">
        <v>400000</v>
      </c>
      <c r="K16" s="19" t="n">
        <v>480000</v>
      </c>
      <c r="L16" s="19" t="n">
        <v>480000</v>
      </c>
      <c r="M16" s="19" t="n">
        <v>560000</v>
      </c>
    </row>
    <row r="17">
      <c r="A17" s="5" t="inlineStr">
        <is>
          <t>成約報酬（回収分）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8" t="n">
        <v>525000</v>
      </c>
      <c r="G17" s="18" t="n">
        <v>525000</v>
      </c>
      <c r="H17" s="18" t="n">
        <v>525000</v>
      </c>
      <c r="I17" s="18" t="n">
        <v>1050000</v>
      </c>
      <c r="J17" s="18" t="n">
        <v>1050000</v>
      </c>
      <c r="K17" s="18" t="n">
        <v>1050000</v>
      </c>
      <c r="L17" s="18" t="n">
        <v>1050000</v>
      </c>
      <c r="M17" s="18" t="n">
        <v>1050000</v>
      </c>
    </row>
    <row r="18">
      <c r="A18" s="7" t="inlineStr">
        <is>
          <t>月額掲載料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9" t="n">
        <v>200000</v>
      </c>
      <c r="G18" s="19" t="n">
        <v>240000</v>
      </c>
      <c r="H18" s="19" t="n">
        <v>280000</v>
      </c>
      <c r="I18" s="19" t="n">
        <v>320000</v>
      </c>
      <c r="J18" s="19" t="n">
        <v>360000</v>
      </c>
      <c r="K18" s="19" t="n">
        <v>400000</v>
      </c>
      <c r="L18" s="19" t="n">
        <v>440000</v>
      </c>
      <c r="M18" s="19" t="n">
        <v>480000</v>
      </c>
    </row>
    <row r="19">
      <c r="A19" s="5" t="inlineStr">
        <is>
          <t>月間売上合計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8" t="n">
        <v>1037000</v>
      </c>
      <c r="G19" s="18" t="n">
        <v>1129000</v>
      </c>
      <c r="H19" s="18" t="n">
        <v>1221000</v>
      </c>
      <c r="I19" s="18" t="n">
        <v>1878000</v>
      </c>
      <c r="J19" s="18" t="n">
        <v>1930000</v>
      </c>
      <c r="K19" s="18" t="n">
        <v>2062000</v>
      </c>
      <c r="L19" s="18" t="n">
        <v>2114000</v>
      </c>
      <c r="M19" s="18" t="n">
        <v>2246000</v>
      </c>
    </row>
    <row r="20">
      <c r="A20" s="7" t="inlineStr">
        <is>
          <t>累計売上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9" t="n">
        <v>1037000</v>
      </c>
      <c r="G20" s="19" t="n">
        <v>2166000</v>
      </c>
      <c r="H20" s="19" t="n">
        <v>3387000</v>
      </c>
      <c r="I20" s="19" t="n">
        <v>5265000</v>
      </c>
      <c r="J20" s="19" t="n">
        <v>7195000</v>
      </c>
      <c r="K20" s="19" t="n">
        <v>9257000</v>
      </c>
      <c r="L20" s="19" t="n">
        <v>11371000</v>
      </c>
      <c r="M20" s="19" t="n">
        <v>13617000</v>
      </c>
    </row>
    <row r="23">
      <c r="A23" s="20" t="inlineStr">
        <is>
          <t>年間サマリー（標準）</t>
        </is>
      </c>
    </row>
    <row r="24">
      <c r="A24" s="3" t="inlineStr">
        <is>
          <t>指標</t>
        </is>
      </c>
      <c r="B24" s="3" t="inlineStr">
        <is>
          <t>数値</t>
        </is>
      </c>
    </row>
    <row r="25">
      <c r="A25" s="4" t="inlineStr">
        <is>
          <t>年間売上合計</t>
        </is>
      </c>
      <c r="B25" s="21" t="n">
        <v>13617000</v>
      </c>
    </row>
    <row r="26">
      <c r="A26" s="4" t="inlineStr">
        <is>
          <t>年間リード数</t>
        </is>
      </c>
      <c r="B26" s="21" t="n">
        <v>228</v>
      </c>
    </row>
    <row r="27">
      <c r="A27" s="4" t="inlineStr">
        <is>
          <t>年間成約数（推定）</t>
        </is>
      </c>
      <c r="B27" s="21" t="n">
        <v>13</v>
      </c>
    </row>
    <row r="28">
      <c r="A28" s="4" t="inlineStr">
        <is>
          <t>リード単価（平均）</t>
        </is>
      </c>
      <c r="B28" s="21" t="n">
        <v>59724</v>
      </c>
    </row>
    <row r="29">
      <c r="A29" s="4" t="inlineStr">
        <is>
          <t>成約1件あたり報酬（平均）</t>
        </is>
      </c>
      <c r="B29" s="21" t="n">
        <v>525000</v>
      </c>
    </row>
    <row r="30">
      <c r="A30" s="4" t="inlineStr">
        <is>
          <t>年末掲載社数</t>
        </is>
      </c>
      <c r="B30" s="21" t="n">
        <v>26</v>
      </c>
    </row>
    <row r="31">
      <c r="A31" s="4" t="inlineStr">
        <is>
          <t>ARPU（有料社あたり月売上）</t>
        </is>
      </c>
      <c r="B31" s="21" t="n">
        <v>86346</v>
      </c>
    </row>
    <row r="32">
      <c r="A32" s="4" t="inlineStr">
        <is>
          <t>月間売上（12月時点）</t>
        </is>
      </c>
      <c r="B32" s="21" t="n">
        <v>2246000</v>
      </c>
    </row>
    <row r="33">
      <c r="A33" s="4" t="inlineStr">
        <is>
          <t>ARR換算（12月ベース）</t>
        </is>
      </c>
      <c r="B33" s="21" t="n">
        <v>26952000</v>
      </c>
    </row>
  </sheetData>
  <mergeCells count="3">
    <mergeCell ref="A1:P1"/>
    <mergeCell ref="A23:D2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楽観的シナリオ — 月次推移</t>
        </is>
      </c>
    </row>
    <row r="2">
      <c r="A2" s="23" t="inlineStr">
        <is>
          <t>前提：フリープラン30社、有料転換75%（22社）、月間リード3件/社、成約転換8%、回収率90%</t>
        </is>
      </c>
    </row>
    <row r="4">
      <c r="A4" s="3" t="inlineStr">
        <is>
          <t>指標</t>
        </is>
      </c>
      <c r="B4" s="3" t="inlineStr">
        <is>
          <t>4月</t>
        </is>
      </c>
      <c r="C4" s="3" t="inlineStr">
        <is>
          <t>5月</t>
        </is>
      </c>
      <c r="D4" s="3" t="inlineStr">
        <is>
          <t>6月</t>
        </is>
      </c>
      <c r="E4" s="3" t="inlineStr">
        <is>
          <t>7月</t>
        </is>
      </c>
      <c r="F4" s="3" t="inlineStr">
        <is>
          <t>8月</t>
        </is>
      </c>
      <c r="G4" s="3" t="inlineStr">
        <is>
          <t>9月</t>
        </is>
      </c>
      <c r="H4" s="3" t="inlineStr">
        <is>
          <t>10月</t>
        </is>
      </c>
      <c r="I4" s="3" t="inlineStr">
        <is>
          <t>11月</t>
        </is>
      </c>
      <c r="J4" s="3" t="inlineStr">
        <is>
          <t>12月</t>
        </is>
      </c>
      <c r="K4" s="3" t="inlineStr">
        <is>
          <t>1月</t>
        </is>
      </c>
      <c r="L4" s="3" t="inlineStr">
        <is>
          <t>2月</t>
        </is>
      </c>
      <c r="M4" s="3" t="inlineStr">
        <is>
          <t>3月</t>
        </is>
      </c>
    </row>
    <row r="5">
      <c r="A5" s="5" t="inlineStr">
        <is>
          <t>掲載社数（累計）</t>
        </is>
      </c>
      <c r="B5" s="15" t="n">
        <v>0</v>
      </c>
      <c r="C5" s="15" t="n">
        <v>30</v>
      </c>
      <c r="D5" s="15" t="n">
        <v>30</v>
      </c>
      <c r="E5" s="15" t="n">
        <v>30</v>
      </c>
      <c r="F5" s="15" t="n">
        <v>22</v>
      </c>
      <c r="G5" s="15" t="n">
        <v>25</v>
      </c>
      <c r="H5" s="15" t="n">
        <v>28</v>
      </c>
      <c r="I5" s="15" t="n">
        <v>31</v>
      </c>
      <c r="J5" s="15" t="n">
        <v>34</v>
      </c>
      <c r="K5" s="15" t="n">
        <v>37</v>
      </c>
      <c r="L5" s="15" t="n">
        <v>40</v>
      </c>
      <c r="M5" s="15" t="n">
        <v>43</v>
      </c>
    </row>
    <row r="6">
      <c r="A6" s="7" t="inlineStr">
        <is>
          <t>うちフリープラン</t>
        </is>
      </c>
      <c r="B6" s="16" t="n">
        <v>0</v>
      </c>
      <c r="C6" s="16" t="n">
        <v>30</v>
      </c>
      <c r="D6" s="16" t="n">
        <v>30</v>
      </c>
      <c r="E6" s="16" t="n">
        <v>30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</row>
    <row r="7">
      <c r="A7" s="5" t="inlineStr">
        <is>
          <t>うち有料プラン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22</v>
      </c>
      <c r="G7" s="15" t="n">
        <v>25</v>
      </c>
      <c r="H7" s="15" t="n">
        <v>28</v>
      </c>
      <c r="I7" s="15" t="n">
        <v>31</v>
      </c>
      <c r="J7" s="15" t="n">
        <v>34</v>
      </c>
      <c r="K7" s="15" t="n">
        <v>37</v>
      </c>
      <c r="L7" s="15" t="n">
        <v>40</v>
      </c>
      <c r="M7" s="15" t="n">
        <v>43</v>
      </c>
    </row>
    <row r="8">
      <c r="A8" s="7" t="inlineStr">
        <is>
          <t>月間PV（全社合計）</t>
        </is>
      </c>
      <c r="B8" s="16" t="n">
        <v>0</v>
      </c>
      <c r="C8" s="19" t="n">
        <v>9000</v>
      </c>
      <c r="D8" s="19" t="n">
        <v>10000</v>
      </c>
      <c r="E8" s="19" t="n">
        <v>11000</v>
      </c>
      <c r="F8" s="19" t="n">
        <v>6600</v>
      </c>
      <c r="G8" s="19" t="n">
        <v>7500</v>
      </c>
      <c r="H8" s="19" t="n">
        <v>8400</v>
      </c>
      <c r="I8" s="19" t="n">
        <v>9300</v>
      </c>
      <c r="J8" s="19" t="n">
        <v>10200</v>
      </c>
      <c r="K8" s="19" t="n">
        <v>11100</v>
      </c>
      <c r="L8" s="19" t="n">
        <v>12000</v>
      </c>
      <c r="M8" s="19" t="n">
        <v>12900</v>
      </c>
    </row>
    <row r="9">
      <c r="A9" s="5" t="inlineStr">
        <is>
          <t>月間リード数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66</v>
      </c>
      <c r="G9" s="15" t="n">
        <v>75</v>
      </c>
      <c r="H9" s="15" t="n">
        <v>84</v>
      </c>
      <c r="I9" s="15" t="n">
        <v>93</v>
      </c>
      <c r="J9" s="15" t="n">
        <v>102</v>
      </c>
      <c r="K9" s="15" t="n">
        <v>111</v>
      </c>
      <c r="L9" s="15" t="n">
        <v>120</v>
      </c>
      <c r="M9" s="15" t="n">
        <v>129</v>
      </c>
    </row>
    <row r="10">
      <c r="A10" s="7" t="inlineStr">
        <is>
          <t>累計リード数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66</v>
      </c>
      <c r="G10" s="16" t="n">
        <v>141</v>
      </c>
      <c r="H10" s="16" t="n">
        <v>225</v>
      </c>
      <c r="I10" s="16" t="n">
        <v>318</v>
      </c>
      <c r="J10" s="16" t="n">
        <v>420</v>
      </c>
      <c r="K10" s="16" t="n">
        <v>531</v>
      </c>
      <c r="L10" s="16" t="n">
        <v>651</v>
      </c>
      <c r="M10" s="16" t="n">
        <v>780</v>
      </c>
    </row>
    <row r="11">
      <c r="A11" s="5" t="inlineStr">
        <is>
          <t>月間成約数（推定）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5</v>
      </c>
      <c r="G11" s="15" t="n">
        <v>6</v>
      </c>
      <c r="H11" s="15" t="n">
        <v>7</v>
      </c>
      <c r="I11" s="15" t="n">
        <v>7</v>
      </c>
      <c r="J11" s="15" t="n">
        <v>8</v>
      </c>
      <c r="K11" s="15" t="n">
        <v>9</v>
      </c>
      <c r="L11" s="15" t="n">
        <v>10</v>
      </c>
      <c r="M11" s="15" t="n">
        <v>10</v>
      </c>
    </row>
    <row r="12">
      <c r="A12" s="7" t="inlineStr">
        <is>
          <t>累計成約数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5</v>
      </c>
      <c r="G12" s="16" t="n">
        <v>11</v>
      </c>
      <c r="H12" s="16" t="n">
        <v>18</v>
      </c>
      <c r="I12" s="16" t="n">
        <v>25</v>
      </c>
      <c r="J12" s="16" t="n">
        <v>33</v>
      </c>
      <c r="K12" s="16" t="n">
        <v>42</v>
      </c>
      <c r="L12" s="16" t="n">
        <v>52</v>
      </c>
      <c r="M12" s="16" t="n">
        <v>62</v>
      </c>
    </row>
    <row r="13">
      <c r="A13" s="4" t="inlineStr"/>
    </row>
    <row r="14">
      <c r="A14" s="6" t="inlineStr">
        <is>
          <t>【収益内訳】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5" t="inlineStr">
        <is>
          <t>資料請求収益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8" t="n">
        <v>198000</v>
      </c>
      <c r="G15" s="18" t="n">
        <v>225000</v>
      </c>
      <c r="H15" s="18" t="n">
        <v>252000</v>
      </c>
      <c r="I15" s="18" t="n">
        <v>279000</v>
      </c>
      <c r="J15" s="18" t="n">
        <v>306000</v>
      </c>
      <c r="K15" s="18" t="n">
        <v>333000</v>
      </c>
      <c r="L15" s="18" t="n">
        <v>360000</v>
      </c>
      <c r="M15" s="18" t="n">
        <v>387000</v>
      </c>
    </row>
    <row r="16">
      <c r="A16" s="7" t="inlineStr">
        <is>
          <t>見学会来場収益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9" t="n">
        <v>960000</v>
      </c>
      <c r="G16" s="19" t="n">
        <v>1100000</v>
      </c>
      <c r="H16" s="19" t="n">
        <v>1200000</v>
      </c>
      <c r="I16" s="19" t="n">
        <v>1360000</v>
      </c>
      <c r="J16" s="19" t="n">
        <v>1440000</v>
      </c>
      <c r="K16" s="19" t="n">
        <v>1600000</v>
      </c>
      <c r="L16" s="19" t="n">
        <v>1680000</v>
      </c>
      <c r="M16" s="19" t="n">
        <v>1840000</v>
      </c>
    </row>
    <row r="17">
      <c r="A17" s="5" t="inlineStr">
        <is>
          <t>成約報酬（回収分）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8" t="n">
        <v>2520000</v>
      </c>
      <c r="G17" s="18" t="n">
        <v>3024000</v>
      </c>
      <c r="H17" s="18" t="n">
        <v>3528000</v>
      </c>
      <c r="I17" s="18" t="n">
        <v>3528000</v>
      </c>
      <c r="J17" s="18" t="n">
        <v>4032000</v>
      </c>
      <c r="K17" s="18" t="n">
        <v>4536000</v>
      </c>
      <c r="L17" s="18" t="n">
        <v>5040000</v>
      </c>
      <c r="M17" s="18" t="n">
        <v>5040000</v>
      </c>
    </row>
    <row r="18">
      <c r="A18" s="7" t="inlineStr">
        <is>
          <t>月額掲載料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9" t="n">
        <v>440000</v>
      </c>
      <c r="G18" s="19" t="n">
        <v>500000</v>
      </c>
      <c r="H18" s="19" t="n">
        <v>560000</v>
      </c>
      <c r="I18" s="19" t="n">
        <v>620000</v>
      </c>
      <c r="J18" s="19" t="n">
        <v>680000</v>
      </c>
      <c r="K18" s="19" t="n">
        <v>740000</v>
      </c>
      <c r="L18" s="19" t="n">
        <v>800000</v>
      </c>
      <c r="M18" s="19" t="n">
        <v>860000</v>
      </c>
    </row>
    <row r="19">
      <c r="A19" s="5" t="inlineStr">
        <is>
          <t>月間売上合計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8" t="n">
        <v>4118000</v>
      </c>
      <c r="G19" s="18" t="n">
        <v>4849000</v>
      </c>
      <c r="H19" s="18" t="n">
        <v>5540000</v>
      </c>
      <c r="I19" s="18" t="n">
        <v>5787000</v>
      </c>
      <c r="J19" s="18" t="n">
        <v>6458000</v>
      </c>
      <c r="K19" s="18" t="n">
        <v>7209000</v>
      </c>
      <c r="L19" s="18" t="n">
        <v>7880000</v>
      </c>
      <c r="M19" s="18" t="n">
        <v>8127000</v>
      </c>
    </row>
    <row r="20">
      <c r="A20" s="7" t="inlineStr">
        <is>
          <t>累計売上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9" t="n">
        <v>4118000</v>
      </c>
      <c r="G20" s="19" t="n">
        <v>8967000</v>
      </c>
      <c r="H20" s="19" t="n">
        <v>14507000</v>
      </c>
      <c r="I20" s="19" t="n">
        <v>20294000</v>
      </c>
      <c r="J20" s="19" t="n">
        <v>26752000</v>
      </c>
      <c r="K20" s="19" t="n">
        <v>33961000</v>
      </c>
      <c r="L20" s="19" t="n">
        <v>41841000</v>
      </c>
      <c r="M20" s="19" t="n">
        <v>49968000</v>
      </c>
    </row>
    <row r="23">
      <c r="A23" s="20" t="inlineStr">
        <is>
          <t>年間サマリー（楽観的）</t>
        </is>
      </c>
    </row>
    <row r="24">
      <c r="A24" s="3" t="inlineStr">
        <is>
          <t>指標</t>
        </is>
      </c>
      <c r="B24" s="3" t="inlineStr">
        <is>
          <t>数値</t>
        </is>
      </c>
    </row>
    <row r="25">
      <c r="A25" s="4" t="inlineStr">
        <is>
          <t>年間売上合計</t>
        </is>
      </c>
      <c r="B25" s="21" t="n">
        <v>49968000</v>
      </c>
    </row>
    <row r="26">
      <c r="A26" s="4" t="inlineStr">
        <is>
          <t>年間リード数</t>
        </is>
      </c>
      <c r="B26" s="21" t="n">
        <v>780</v>
      </c>
    </row>
    <row r="27">
      <c r="A27" s="4" t="inlineStr">
        <is>
          <t>年間成約数（推定）</t>
        </is>
      </c>
      <c r="B27" s="21" t="n">
        <v>62</v>
      </c>
    </row>
    <row r="28">
      <c r="A28" s="4" t="inlineStr">
        <is>
          <t>リード単価（平均）</t>
        </is>
      </c>
      <c r="B28" s="21" t="n">
        <v>64062</v>
      </c>
    </row>
    <row r="29">
      <c r="A29" s="4" t="inlineStr">
        <is>
          <t>成約1件あたり報酬（平均）</t>
        </is>
      </c>
      <c r="B29" s="21" t="n">
        <v>504000</v>
      </c>
    </row>
    <row r="30">
      <c r="A30" s="4" t="inlineStr">
        <is>
          <t>年末掲載社数</t>
        </is>
      </c>
      <c r="B30" s="21" t="n">
        <v>43</v>
      </c>
    </row>
    <row r="31">
      <c r="A31" s="4" t="inlineStr">
        <is>
          <t>ARPU（有料社あたり月売上）</t>
        </is>
      </c>
      <c r="B31" s="21" t="n">
        <v>188977</v>
      </c>
    </row>
    <row r="32">
      <c r="A32" s="4" t="inlineStr">
        <is>
          <t>月間売上（12月時点）</t>
        </is>
      </c>
      <c r="B32" s="21" t="n">
        <v>8127000</v>
      </c>
    </row>
    <row r="33">
      <c r="A33" s="4" t="inlineStr">
        <is>
          <t>ARR換算（12月ベース）</t>
        </is>
      </c>
      <c r="B33" s="21" t="n">
        <v>97524000</v>
      </c>
    </row>
  </sheetData>
  <mergeCells count="3">
    <mergeCell ref="A1:P1"/>
    <mergeCell ref="A23:D23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740C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1" t="inlineStr">
        <is>
          <t>3シナリオ比較サマリー</t>
        </is>
      </c>
    </row>
    <row r="3">
      <c r="A3" s="3" t="inlineStr">
        <is>
          <t>指標</t>
        </is>
      </c>
      <c r="B3" s="3" t="inlineStr">
        <is>
          <t>悲観的</t>
        </is>
      </c>
      <c r="C3" s="3" t="inlineStr">
        <is>
          <t>標準</t>
        </is>
      </c>
      <c r="D3" s="3" t="inlineStr">
        <is>
          <t>楽観的</t>
        </is>
      </c>
    </row>
    <row r="4">
      <c r="A4" s="24" t="inlineStr">
        <is>
          <t>フリープラン申込社数</t>
        </is>
      </c>
      <c r="B4" s="25" t="n">
        <v>8</v>
      </c>
      <c r="C4" s="26" t="n">
        <v>20</v>
      </c>
      <c r="D4" s="27" t="n">
        <v>30</v>
      </c>
    </row>
    <row r="5">
      <c r="A5" s="24" t="inlineStr">
        <is>
          <t>有料移行社数（8月）</t>
        </is>
      </c>
      <c r="B5" s="25" t="n">
        <v>3</v>
      </c>
      <c r="C5" s="26" t="n">
        <v>12</v>
      </c>
      <c r="D5" s="27" t="n">
        <v>22</v>
      </c>
    </row>
    <row r="6">
      <c r="A6" s="24" t="inlineStr">
        <is>
          <t>年末掲載社数</t>
        </is>
      </c>
      <c r="B6" s="25" t="n">
        <v>10</v>
      </c>
      <c r="C6" s="26" t="n">
        <v>26</v>
      </c>
      <c r="D6" s="27" t="n">
        <v>43</v>
      </c>
    </row>
    <row r="7">
      <c r="A7" s="28" t="n"/>
      <c r="B7" s="28" t="n"/>
      <c r="C7" s="28" t="n"/>
      <c r="D7" s="28" t="n"/>
    </row>
    <row r="8">
      <c r="A8" s="24" t="inlineStr">
        <is>
          <t>年間リード数</t>
        </is>
      </c>
      <c r="B8" s="25" t="n">
        <v>28</v>
      </c>
      <c r="C8" s="26" t="n">
        <v>228</v>
      </c>
      <c r="D8" s="27" t="n">
        <v>780</v>
      </c>
    </row>
    <row r="9">
      <c r="A9" s="24" t="inlineStr">
        <is>
          <t>年間成約数（推定）</t>
        </is>
      </c>
      <c r="B9" s="25" t="n">
        <v>3</v>
      </c>
      <c r="C9" s="26" t="n">
        <v>13</v>
      </c>
      <c r="D9" s="27" t="n">
        <v>62</v>
      </c>
    </row>
    <row r="10">
      <c r="A10" s="24" t="inlineStr">
        <is>
          <t>成約率（リード→成約）</t>
        </is>
      </c>
      <c r="B10" s="15" t="inlineStr">
        <is>
          <t>10.7%</t>
        </is>
      </c>
      <c r="C10" s="15" t="inlineStr">
        <is>
          <t>5.7%</t>
        </is>
      </c>
      <c r="D10" s="15" t="inlineStr">
        <is>
          <t>7.9%</t>
        </is>
      </c>
    </row>
    <row r="11">
      <c r="A11" s="28" t="n"/>
      <c r="B11" s="28" t="n"/>
      <c r="C11" s="28" t="n"/>
      <c r="D11" s="28" t="n"/>
    </row>
    <row r="12">
      <c r="A12" s="24" t="inlineStr">
        <is>
          <t>年間売上合計</t>
        </is>
      </c>
      <c r="B12" s="29" t="n">
        <v>3032000</v>
      </c>
      <c r="C12" s="30" t="n">
        <v>13617000</v>
      </c>
      <c r="D12" s="31" t="n">
        <v>49968000</v>
      </c>
    </row>
    <row r="13">
      <c r="A13" s="24" t="inlineStr">
        <is>
          <t>月間売上（12月時点）</t>
        </is>
      </c>
      <c r="B13" s="29" t="n">
        <v>820000</v>
      </c>
      <c r="C13" s="30" t="n">
        <v>2246000</v>
      </c>
      <c r="D13" s="31" t="n">
        <v>8127000</v>
      </c>
    </row>
    <row r="14">
      <c r="A14" s="24" t="inlineStr">
        <is>
          <t>ARR換算（12月ベース）</t>
        </is>
      </c>
      <c r="B14" s="29" t="n">
        <v>9840000</v>
      </c>
      <c r="C14" s="30" t="n">
        <v>26952000</v>
      </c>
      <c r="D14" s="31" t="n">
        <v>97524000</v>
      </c>
    </row>
    <row r="15">
      <c r="A15" s="28" t="n"/>
      <c r="B15" s="28" t="n"/>
      <c r="C15" s="28" t="n"/>
      <c r="D15" s="28" t="n"/>
    </row>
    <row r="16">
      <c r="A16" s="24" t="inlineStr">
        <is>
          <t>ARPU（有料社あたり月売上）</t>
        </is>
      </c>
      <c r="B16" s="29" t="n">
        <v>25267</v>
      </c>
      <c r="C16" s="30" t="n">
        <v>86346</v>
      </c>
      <c r="D16" s="31" t="n">
        <v>188977</v>
      </c>
    </row>
    <row r="17">
      <c r="A17" s="24" t="inlineStr">
        <is>
          <t>リード単価（平均）</t>
        </is>
      </c>
      <c r="B17" s="29" t="n">
        <v>108286</v>
      </c>
      <c r="C17" s="30" t="n">
        <v>59724</v>
      </c>
      <c r="D17" s="31" t="n">
        <v>64062</v>
      </c>
    </row>
    <row r="18">
      <c r="A18" s="28" t="n"/>
      <c r="B18" s="28" t="n"/>
      <c r="C18" s="28" t="n"/>
      <c r="D18" s="28" t="n"/>
    </row>
    <row r="19">
      <c r="A19" s="24" t="inlineStr">
        <is>
          <t>YouTube既知契約との比較</t>
        </is>
      </c>
      <c r="B19" s="28" t="n"/>
      <c r="C19" s="28" t="n"/>
      <c r="D19" s="28" t="n"/>
    </row>
    <row r="20">
      <c r="A20" s="24" t="inlineStr">
        <is>
          <t>YouTube経由 年間契約棟数</t>
        </is>
      </c>
      <c r="B20" s="15" t="inlineStr">
        <is>
          <t>10棟</t>
        </is>
      </c>
      <c r="C20" s="15" t="inlineStr">
        <is>
          <t>15棟</t>
        </is>
      </c>
      <c r="D20" s="15" t="inlineStr">
        <is>
          <t>25棟</t>
        </is>
      </c>
    </row>
    <row r="21">
      <c r="A21" s="24" t="inlineStr">
        <is>
          <t>PF経由 年間契約棟数</t>
        </is>
      </c>
      <c r="B21" s="15" t="inlineStr">
        <is>
          <t>3棟</t>
        </is>
      </c>
      <c r="C21" s="15" t="inlineStr">
        <is>
          <t>13棟</t>
        </is>
      </c>
      <c r="D21" s="15" t="inlineStr">
        <is>
          <t>62棟</t>
        </is>
      </c>
    </row>
    <row r="22">
      <c r="A22" s="24" t="inlineStr">
        <is>
          <t>合計</t>
        </is>
      </c>
      <c r="B22" s="15" t="inlineStr">
        <is>
          <t>13棟</t>
        </is>
      </c>
      <c r="C22" s="15" t="inlineStr">
        <is>
          <t>28棟</t>
        </is>
      </c>
      <c r="D22" s="15" t="inlineStr">
        <is>
          <t>87棟</t>
        </is>
      </c>
    </row>
    <row r="23">
      <c r="A23" s="24" t="inlineStr">
        <is>
          <t>PFによる上乗せ効果</t>
        </is>
      </c>
      <c r="B23" s="15" t="inlineStr">
        <is>
          <t>+30%</t>
        </is>
      </c>
      <c r="C23" s="15" t="inlineStr">
        <is>
          <t>+87%</t>
        </is>
      </c>
      <c r="D23" s="15" t="inlineStr">
        <is>
          <t>+248%</t>
        </is>
      </c>
    </row>
    <row r="26">
      <c r="A26" s="2" t="inlineStr">
        <is>
          <t>妥当性評価</t>
        </is>
      </c>
    </row>
    <row r="27" ht="60" customHeight="1">
      <c r="A27" s="4" t="inlineStr">
        <is>
          <t>妥当ライン（標準シナリオ）</t>
        </is>
      </c>
      <c r="B27" s="32" t="inlineStr">
        <is>
          <t>年間売上1,362万円。月間売上200万円超（12月時点）。鹿児島県内26社掲載で平屋検討者の主要接点になれる水準。YouTube既知契約の約87%増の上乗せ効果。事業として成立する最低ラインをクリア。</t>
        </is>
      </c>
      <c r="C27" s="36" t="n"/>
      <c r="D27" s="37" t="n"/>
    </row>
    <row r="28" ht="60" customHeight="1">
      <c r="A28" s="6" t="inlineStr">
        <is>
          <t>損益分岐点</t>
        </is>
      </c>
      <c r="B28" s="33" t="inlineStr">
        <is>
          <t>月間固定費を50万円と仮定した場合、有料掲載社数10社＋月間リード15件で黒字化。標準シナリオでは9月（有料化2ヶ月目）に到達見込み。</t>
        </is>
      </c>
      <c r="C28" s="36" t="n"/>
      <c r="D28" s="37" t="n"/>
    </row>
    <row r="29" ht="60" customHeight="1">
      <c r="A29" s="4" t="inlineStr">
        <is>
          <t>成長の限界</t>
        </is>
      </c>
      <c r="B29" s="32" t="inlineStr">
        <is>
          <t>鹿児島県内の平屋対応工務店は最大100〜150社。掲載率50%で50〜75社が上限。ARPUを上げるか、エリアを九州全域に拡大する必要あり。</t>
        </is>
      </c>
      <c r="C29" s="36" t="n"/>
      <c r="D29" s="37" t="n"/>
    </row>
    <row r="30" ht="60" customHeight="1">
      <c r="A30" s="6" t="inlineStr">
        <is>
          <t>YouTube実績との整合性</t>
        </is>
      </c>
      <c r="B30" s="33" t="inlineStr">
        <is>
          <t>既に年間10〜20棟の契約実績がある。PF化により送客精度が上がるため、標準シナリオ（+87%）は十分に現実的。</t>
        </is>
      </c>
      <c r="C30" s="36" t="n"/>
      <c r="D30" s="37" t="n"/>
    </row>
    <row r="31" ht="60" customHeight="1">
      <c r="A31" s="4" t="inlineStr">
        <is>
          <t>リスク要因</t>
        </is>
      </c>
      <c r="B31" s="32" t="inlineStr">
        <is>
          <t>フリープラン後の離脱率、成約報酬の回収率、工務店の対応品質が売上に直結。消費者フォローの仕組みが成約追跡の鍵。</t>
        </is>
      </c>
      <c r="C31" s="36" t="n"/>
      <c r="D31" s="37" t="n"/>
    </row>
    <row r="32" ht="60" customHeight="1">
      <c r="A32" s="6" t="inlineStr">
        <is>
          <t>2年目以降の展望</t>
        </is>
      </c>
      <c r="B32" s="33" t="inlineStr">
        <is>
          <t>鹿児島で実績を作った後、熊本・宮崎・福岡へ段階的に展開。九州全域で掲載100社＋マーケ支援20社で年商1億円が視野に入る。</t>
        </is>
      </c>
      <c r="C32" s="36" t="n"/>
      <c r="D32" s="37" t="n"/>
    </row>
  </sheetData>
  <mergeCells count="8">
    <mergeCell ref="B28:D28"/>
    <mergeCell ref="B31:D31"/>
    <mergeCell ref="A26:D26"/>
    <mergeCell ref="B32:D32"/>
    <mergeCell ref="B27:D27"/>
    <mergeCell ref="A1:E1"/>
    <mergeCell ref="B30:D30"/>
    <mergeCell ref="B29:D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月</t>
        </is>
      </c>
      <c r="B1" s="3" t="inlineStr">
        <is>
          <t>悲観的（累計）</t>
        </is>
      </c>
      <c r="C1" s="3" t="inlineStr">
        <is>
          <t>標準（累計）</t>
        </is>
      </c>
      <c r="D1" s="3" t="inlineStr">
        <is>
          <t>楽観的（累計）</t>
        </is>
      </c>
      <c r="E1" s="3" t="inlineStr">
        <is>
          <t>悲観的（月次）</t>
        </is>
      </c>
      <c r="F1" s="3" t="inlineStr">
        <is>
          <t>標準（月次）</t>
        </is>
      </c>
      <c r="G1" s="3" t="inlineStr">
        <is>
          <t>楽観的（月次）</t>
        </is>
      </c>
    </row>
    <row r="2">
      <c r="A2" s="34" t="inlineStr">
        <is>
          <t>4月</t>
        </is>
      </c>
      <c r="B2" s="35" t="n">
        <v>0</v>
      </c>
      <c r="C2" s="35" t="n">
        <v>0</v>
      </c>
      <c r="D2" s="35" t="n">
        <v>0</v>
      </c>
      <c r="E2" s="35" t="n">
        <v>0</v>
      </c>
      <c r="F2" s="35" t="n">
        <v>0</v>
      </c>
      <c r="G2" s="35" t="n">
        <v>0</v>
      </c>
    </row>
    <row r="3">
      <c r="A3" s="34" t="inlineStr">
        <is>
          <t>5月</t>
        </is>
      </c>
      <c r="B3" s="35" t="n">
        <v>0</v>
      </c>
      <c r="C3" s="35" t="n">
        <v>0</v>
      </c>
      <c r="D3" s="35" t="n">
        <v>0</v>
      </c>
      <c r="E3" s="35" t="n">
        <v>0</v>
      </c>
      <c r="F3" s="35" t="n">
        <v>0</v>
      </c>
      <c r="G3" s="35" t="n">
        <v>0</v>
      </c>
    </row>
    <row r="4">
      <c r="A4" s="34" t="inlineStr">
        <is>
          <t>6月</t>
        </is>
      </c>
      <c r="B4" s="35" t="n">
        <v>0</v>
      </c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</row>
    <row r="5">
      <c r="A5" s="34" t="inlineStr">
        <is>
          <t>7月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  <c r="G5" s="35" t="n">
        <v>0</v>
      </c>
    </row>
    <row r="6">
      <c r="A6" s="34" t="inlineStr">
        <is>
          <t>8月</t>
        </is>
      </c>
      <c r="B6" s="35" t="n">
        <v>68000</v>
      </c>
      <c r="C6" s="35" t="n">
        <v>1037000</v>
      </c>
      <c r="D6" s="35" t="n">
        <v>4118000</v>
      </c>
      <c r="E6" s="35" t="n">
        <v>68000</v>
      </c>
      <c r="F6" s="35" t="n">
        <v>1037000</v>
      </c>
      <c r="G6" s="35" t="n">
        <v>4118000</v>
      </c>
    </row>
    <row r="7">
      <c r="A7" s="34" t="inlineStr">
        <is>
          <t>9月</t>
        </is>
      </c>
      <c r="B7" s="35" t="n">
        <v>236000</v>
      </c>
      <c r="C7" s="35" t="n">
        <v>2166000</v>
      </c>
      <c r="D7" s="35" t="n">
        <v>8967000</v>
      </c>
      <c r="E7" s="35" t="n">
        <v>168000</v>
      </c>
      <c r="F7" s="35" t="n">
        <v>1129000</v>
      </c>
      <c r="G7" s="35" t="n">
        <v>4849000</v>
      </c>
    </row>
    <row r="8">
      <c r="A8" s="34" t="inlineStr">
        <is>
          <t>10月</t>
        </is>
      </c>
      <c r="B8" s="35" t="n">
        <v>348000</v>
      </c>
      <c r="C8" s="35" t="n">
        <v>3387000</v>
      </c>
      <c r="D8" s="35" t="n">
        <v>14507000</v>
      </c>
      <c r="E8" s="35" t="n">
        <v>112000</v>
      </c>
      <c r="F8" s="35" t="n">
        <v>1221000</v>
      </c>
      <c r="G8" s="35" t="n">
        <v>5540000</v>
      </c>
    </row>
    <row r="9">
      <c r="A9" s="34" t="inlineStr">
        <is>
          <t>11月</t>
        </is>
      </c>
      <c r="B9" s="35" t="n">
        <v>1000000</v>
      </c>
      <c r="C9" s="35" t="n">
        <v>5265000</v>
      </c>
      <c r="D9" s="35" t="n">
        <v>20294000</v>
      </c>
      <c r="E9" s="35" t="n">
        <v>652000</v>
      </c>
      <c r="F9" s="35" t="n">
        <v>1878000</v>
      </c>
      <c r="G9" s="35" t="n">
        <v>5787000</v>
      </c>
    </row>
    <row r="10">
      <c r="A10" s="34" t="inlineStr">
        <is>
          <t>12月</t>
        </is>
      </c>
      <c r="B10" s="35" t="n">
        <v>1236000</v>
      </c>
      <c r="C10" s="35" t="n">
        <v>7195000</v>
      </c>
      <c r="D10" s="35" t="n">
        <v>26752000</v>
      </c>
      <c r="E10" s="35" t="n">
        <v>236000</v>
      </c>
      <c r="F10" s="35" t="n">
        <v>1930000</v>
      </c>
      <c r="G10" s="35" t="n">
        <v>6458000</v>
      </c>
    </row>
    <row r="11">
      <c r="A11" s="34" t="inlineStr">
        <is>
          <t>1月</t>
        </is>
      </c>
      <c r="B11" s="35" t="n">
        <v>1932000</v>
      </c>
      <c r="C11" s="35" t="n">
        <v>9257000</v>
      </c>
      <c r="D11" s="35" t="n">
        <v>33961000</v>
      </c>
      <c r="E11" s="35" t="n">
        <v>696000</v>
      </c>
      <c r="F11" s="35" t="n">
        <v>2062000</v>
      </c>
      <c r="G11" s="35" t="n">
        <v>7209000</v>
      </c>
    </row>
    <row r="12">
      <c r="A12" s="34" t="inlineStr">
        <is>
          <t>2月</t>
        </is>
      </c>
      <c r="B12" s="35" t="n">
        <v>2212000</v>
      </c>
      <c r="C12" s="35" t="n">
        <v>11371000</v>
      </c>
      <c r="D12" s="35" t="n">
        <v>41841000</v>
      </c>
      <c r="E12" s="35" t="n">
        <v>280000</v>
      </c>
      <c r="F12" s="35" t="n">
        <v>2114000</v>
      </c>
      <c r="G12" s="35" t="n">
        <v>7880000</v>
      </c>
    </row>
    <row r="13">
      <c r="A13" s="34" t="inlineStr">
        <is>
          <t>3月</t>
        </is>
      </c>
      <c r="B13" s="35" t="n">
        <v>3032000</v>
      </c>
      <c r="C13" s="35" t="n">
        <v>13617000</v>
      </c>
      <c r="D13" s="35" t="n">
        <v>49968000</v>
      </c>
      <c r="E13" s="35" t="n">
        <v>820000</v>
      </c>
      <c r="F13" s="35" t="n">
        <v>2246000</v>
      </c>
      <c r="G13" s="35" t="n">
        <v>8127000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74C3C"/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5" customHeight="1">
      <c r="A1" s="38" t="inlineStr">
        <is>
          <t>悲観的シナリオ — 収益詳細（件数×単価）</t>
        </is>
      </c>
    </row>
    <row r="3">
      <c r="A3" s="39" t="inlineStr">
        <is>
          <t>指標</t>
        </is>
      </c>
      <c r="B3" s="39" t="inlineStr">
        <is>
          <t>4月</t>
        </is>
      </c>
      <c r="C3" s="39" t="inlineStr">
        <is>
          <t>5月</t>
        </is>
      </c>
      <c r="D3" s="39" t="inlineStr">
        <is>
          <t>6月</t>
        </is>
      </c>
      <c r="E3" s="39" t="inlineStr">
        <is>
          <t>7月</t>
        </is>
      </c>
      <c r="F3" s="39" t="inlineStr">
        <is>
          <t>8月</t>
        </is>
      </c>
      <c r="G3" s="39" t="inlineStr">
        <is>
          <t>9月</t>
        </is>
      </c>
      <c r="H3" s="39" t="inlineStr">
        <is>
          <t>10月</t>
        </is>
      </c>
      <c r="I3" s="39" t="inlineStr">
        <is>
          <t>11月</t>
        </is>
      </c>
      <c r="J3" s="39" t="inlineStr">
        <is>
          <t>12月</t>
        </is>
      </c>
      <c r="K3" s="39" t="inlineStr">
        <is>
          <t>1月</t>
        </is>
      </c>
      <c r="L3" s="39" t="inlineStr">
        <is>
          <t>2月</t>
        </is>
      </c>
      <c r="M3" s="39" t="inlineStr">
        <is>
          <t>3月</t>
        </is>
      </c>
      <c r="N3" s="39" t="inlineStr">
        <is>
          <t>年間合計</t>
        </is>
      </c>
    </row>
    <row r="4">
      <c r="A4" s="4" t="inlineStr">
        <is>
          <t>有料掲載社数</t>
        </is>
      </c>
      <c r="B4" s="40" t="n">
        <v>0</v>
      </c>
      <c r="C4" s="40" t="n">
        <v>0</v>
      </c>
      <c r="D4" s="40" t="n">
        <v>0</v>
      </c>
      <c r="E4" s="40" t="n">
        <v>0</v>
      </c>
      <c r="F4" s="40" t="n">
        <v>3</v>
      </c>
      <c r="G4" s="40" t="n">
        <v>4</v>
      </c>
      <c r="H4" s="40" t="n">
        <v>5</v>
      </c>
      <c r="I4" s="40" t="n">
        <v>6</v>
      </c>
      <c r="J4" s="40" t="n">
        <v>7</v>
      </c>
      <c r="K4" s="40" t="n">
        <v>8</v>
      </c>
      <c r="L4" s="40" t="n">
        <v>9</v>
      </c>
      <c r="M4" s="40" t="n">
        <v>10</v>
      </c>
      <c r="N4" s="40" t="n">
        <v>52</v>
      </c>
    </row>
    <row r="5">
      <c r="A5" s="5" t="inlineStr"/>
    </row>
    <row r="6">
      <c r="A6" s="4" t="inlineStr">
        <is>
          <t>【資料請求】</t>
        </is>
      </c>
    </row>
    <row r="7">
      <c r="A7" s="4" t="inlineStr">
        <is>
          <t xml:space="preserve">  件数</t>
        </is>
      </c>
      <c r="B7" s="40" t="n">
        <v>0</v>
      </c>
      <c r="C7" s="40" t="n">
        <v>0</v>
      </c>
      <c r="D7" s="40" t="n">
        <v>0</v>
      </c>
      <c r="E7" s="40" t="n">
        <v>0</v>
      </c>
      <c r="F7" s="40" t="n">
        <v>1</v>
      </c>
      <c r="G7" s="40" t="n">
        <v>1</v>
      </c>
      <c r="H7" s="40" t="n">
        <v>2</v>
      </c>
      <c r="I7" s="40" t="n">
        <v>2</v>
      </c>
      <c r="J7" s="40" t="n">
        <v>2</v>
      </c>
      <c r="K7" s="40" t="n">
        <v>2</v>
      </c>
      <c r="L7" s="40" t="n">
        <v>3</v>
      </c>
      <c r="M7" s="40" t="n">
        <v>3</v>
      </c>
      <c r="N7" s="40" t="n">
        <v>16</v>
      </c>
    </row>
    <row r="8">
      <c r="A8" s="7" t="inlineStr">
        <is>
          <t xml:space="preserve">  × 単価（加重平均 ¥6,600）</t>
        </is>
      </c>
      <c r="B8" s="19" t="n">
        <v>0</v>
      </c>
      <c r="C8" s="19" t="n">
        <v>0</v>
      </c>
      <c r="D8" s="19" t="n">
        <v>0</v>
      </c>
      <c r="E8" s="19" t="n">
        <v>0</v>
      </c>
      <c r="F8" s="19" t="n">
        <v>6600</v>
      </c>
      <c r="G8" s="19" t="n">
        <v>6600</v>
      </c>
      <c r="H8" s="19" t="n">
        <v>6600</v>
      </c>
      <c r="I8" s="19" t="n">
        <v>6600</v>
      </c>
      <c r="J8" s="19" t="n">
        <v>6600</v>
      </c>
      <c r="K8" s="19" t="n">
        <v>6600</v>
      </c>
      <c r="L8" s="19" t="n">
        <v>6600</v>
      </c>
      <c r="M8" s="19" t="n">
        <v>6600</v>
      </c>
      <c r="N8" s="19" t="n">
        <v>52800</v>
      </c>
    </row>
    <row r="9">
      <c r="A9" s="4" t="inlineStr">
        <is>
          <t xml:space="preserve">  ＝ 資料請求収益</t>
        </is>
      </c>
      <c r="B9" s="40" t="n">
        <v>0</v>
      </c>
      <c r="C9" s="40" t="n">
        <v>0</v>
      </c>
      <c r="D9" s="40" t="n">
        <v>0</v>
      </c>
      <c r="E9" s="40" t="n">
        <v>0</v>
      </c>
      <c r="F9" s="40" t="n">
        <v>6600</v>
      </c>
      <c r="G9" s="40" t="n">
        <v>6600</v>
      </c>
      <c r="H9" s="40" t="n">
        <v>13200</v>
      </c>
      <c r="I9" s="40" t="n">
        <v>13200</v>
      </c>
      <c r="J9" s="40" t="n">
        <v>13200</v>
      </c>
      <c r="K9" s="40" t="n">
        <v>13200</v>
      </c>
      <c r="L9" s="40" t="n">
        <v>19800</v>
      </c>
      <c r="M9" s="40" t="n">
        <v>19800</v>
      </c>
      <c r="N9" s="40" t="n">
        <v>105600</v>
      </c>
    </row>
    <row r="10">
      <c r="A10" s="5" t="inlineStr"/>
    </row>
    <row r="11">
      <c r="A11" s="4" t="inlineStr">
        <is>
          <t>【見学会来場】</t>
        </is>
      </c>
    </row>
    <row r="12">
      <c r="A12" s="4" t="inlineStr">
        <is>
          <t xml:space="preserve">  件数</t>
        </is>
      </c>
      <c r="B12" s="40" t="n">
        <v>0</v>
      </c>
      <c r="C12" s="40" t="n">
        <v>0</v>
      </c>
      <c r="D12" s="40" t="n">
        <v>0</v>
      </c>
      <c r="E12" s="40" t="n">
        <v>0</v>
      </c>
      <c r="F12" s="40" t="n">
        <v>1</v>
      </c>
      <c r="G12" s="40" t="n">
        <v>1</v>
      </c>
      <c r="H12" s="40" t="n">
        <v>1</v>
      </c>
      <c r="I12" s="40" t="n">
        <v>1</v>
      </c>
      <c r="J12" s="40" t="n">
        <v>2</v>
      </c>
      <c r="K12" s="40" t="n">
        <v>2</v>
      </c>
      <c r="L12" s="40" t="n">
        <v>2</v>
      </c>
      <c r="M12" s="40" t="n">
        <v>2</v>
      </c>
      <c r="N12" s="40" t="n">
        <v>12</v>
      </c>
    </row>
    <row r="13">
      <c r="A13" s="7" t="inlineStr">
        <is>
          <t xml:space="preserve">  × 単価（加重平均 ¥66,000）</t>
        </is>
      </c>
      <c r="B13" s="19" t="n">
        <v>0</v>
      </c>
      <c r="C13" s="19" t="n">
        <v>0</v>
      </c>
      <c r="D13" s="19" t="n">
        <v>0</v>
      </c>
      <c r="E13" s="19" t="n">
        <v>0</v>
      </c>
      <c r="F13" s="19" t="n">
        <v>66000</v>
      </c>
      <c r="G13" s="19" t="n">
        <v>66000</v>
      </c>
      <c r="H13" s="19" t="n">
        <v>66000</v>
      </c>
      <c r="I13" s="19" t="n">
        <v>66000</v>
      </c>
      <c r="J13" s="19" t="n">
        <v>66000</v>
      </c>
      <c r="K13" s="19" t="n">
        <v>66000</v>
      </c>
      <c r="L13" s="19" t="n">
        <v>66000</v>
      </c>
      <c r="M13" s="19" t="n">
        <v>66000</v>
      </c>
      <c r="N13" s="19" t="n">
        <v>528000</v>
      </c>
    </row>
    <row r="14">
      <c r="A14" s="4" t="inlineStr">
        <is>
          <t xml:space="preserve">  ＝ 見学会来場収益</t>
        </is>
      </c>
      <c r="B14" s="40" t="n">
        <v>0</v>
      </c>
      <c r="C14" s="40" t="n">
        <v>0</v>
      </c>
      <c r="D14" s="40" t="n">
        <v>0</v>
      </c>
      <c r="E14" s="40" t="n">
        <v>0</v>
      </c>
      <c r="F14" s="40" t="n">
        <v>66000</v>
      </c>
      <c r="G14" s="40" t="n">
        <v>66000</v>
      </c>
      <c r="H14" s="40" t="n">
        <v>66000</v>
      </c>
      <c r="I14" s="40" t="n">
        <v>66000</v>
      </c>
      <c r="J14" s="40" t="n">
        <v>132000</v>
      </c>
      <c r="K14" s="40" t="n">
        <v>132000</v>
      </c>
      <c r="L14" s="40" t="n">
        <v>132000</v>
      </c>
      <c r="M14" s="40" t="n">
        <v>132000</v>
      </c>
      <c r="N14" s="40" t="n">
        <v>792000</v>
      </c>
    </row>
    <row r="15">
      <c r="A15" s="5" t="inlineStr"/>
    </row>
    <row r="16">
      <c r="A16" s="4" t="inlineStr">
        <is>
          <t>【住宅契約成約】</t>
        </is>
      </c>
    </row>
    <row r="17">
      <c r="A17" s="4" t="inlineStr">
        <is>
          <t xml:space="preserve">  成約件数</t>
        </is>
      </c>
      <c r="B17" s="40" t="n">
        <v>0</v>
      </c>
      <c r="C17" s="40" t="n">
        <v>0</v>
      </c>
      <c r="D17" s="40" t="n">
        <v>0</v>
      </c>
      <c r="E17" s="40" t="n">
        <v>0</v>
      </c>
      <c r="F17" s="40" t="n">
        <v>0</v>
      </c>
      <c r="G17" s="40" t="n">
        <v>0</v>
      </c>
      <c r="H17" s="40" t="n">
        <v>0</v>
      </c>
      <c r="I17" s="40" t="n">
        <v>1</v>
      </c>
      <c r="J17" s="40" t="n">
        <v>0</v>
      </c>
      <c r="K17" s="40" t="n">
        <v>1</v>
      </c>
      <c r="L17" s="40" t="n">
        <v>0</v>
      </c>
      <c r="M17" s="40" t="n">
        <v>1</v>
      </c>
      <c r="N17" s="40" t="n">
        <v>3</v>
      </c>
    </row>
    <row r="18">
      <c r="A18" s="7" t="inlineStr">
        <is>
          <t xml:space="preserve">  × 平均契約金額 ¥2,200万円</t>
        </is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22000000</v>
      </c>
      <c r="G18" s="19" t="n">
        <v>22000000</v>
      </c>
      <c r="H18" s="19" t="n">
        <v>22000000</v>
      </c>
      <c r="I18" s="19" t="n">
        <v>22000000</v>
      </c>
      <c r="J18" s="19" t="n">
        <v>22000000</v>
      </c>
      <c r="K18" s="19" t="n">
        <v>22000000</v>
      </c>
      <c r="L18" s="19" t="n">
        <v>22000000</v>
      </c>
      <c r="M18" s="19" t="n">
        <v>22000000</v>
      </c>
      <c r="N18" s="19" t="n">
        <v>176000000</v>
      </c>
    </row>
    <row r="19">
      <c r="A19" s="7" t="inlineStr">
        <is>
          <t xml:space="preserve">  × 報酬率（加重平均 3.5%）</t>
        </is>
      </c>
      <c r="B19" s="41" t="n">
        <v>0</v>
      </c>
      <c r="C19" s="41" t="n">
        <v>0</v>
      </c>
      <c r="D19" s="41" t="n">
        <v>0</v>
      </c>
      <c r="E19" s="41" t="n">
        <v>0</v>
      </c>
      <c r="F19" s="41" t="n">
        <v>0.035</v>
      </c>
      <c r="G19" s="41" t="n">
        <v>0.035</v>
      </c>
      <c r="H19" s="41" t="n">
        <v>0.035</v>
      </c>
      <c r="I19" s="41" t="n">
        <v>0.035</v>
      </c>
      <c r="J19" s="41" t="n">
        <v>0.035</v>
      </c>
      <c r="K19" s="41" t="n">
        <v>0.035</v>
      </c>
      <c r="L19" s="41" t="n">
        <v>0.035</v>
      </c>
      <c r="M19" s="41" t="n">
        <v>0.035</v>
      </c>
      <c r="N19" s="41" t="n">
        <v>0.28</v>
      </c>
    </row>
    <row r="20">
      <c r="A20" s="7" t="inlineStr">
        <is>
          <t xml:space="preserve">  × 回収率（50%）</t>
        </is>
      </c>
      <c r="B20" s="42" t="n">
        <v>0</v>
      </c>
      <c r="C20" s="42" t="n">
        <v>0</v>
      </c>
      <c r="D20" s="42" t="n">
        <v>0</v>
      </c>
      <c r="E20" s="42" t="n">
        <v>0</v>
      </c>
      <c r="F20" s="42" t="n">
        <v>0.5</v>
      </c>
      <c r="G20" s="42" t="n">
        <v>0.5</v>
      </c>
      <c r="H20" s="42" t="n">
        <v>0.5</v>
      </c>
      <c r="I20" s="42" t="n">
        <v>0.5</v>
      </c>
      <c r="J20" s="42" t="n">
        <v>0.5</v>
      </c>
      <c r="K20" s="42" t="n">
        <v>0.5</v>
      </c>
      <c r="L20" s="42" t="n">
        <v>0.5</v>
      </c>
      <c r="M20" s="42" t="n">
        <v>0.5</v>
      </c>
      <c r="N20" s="42" t="n">
        <v>4</v>
      </c>
    </row>
    <row r="21">
      <c r="A21" s="4" t="inlineStr">
        <is>
          <t xml:space="preserve">  ＝ 成約報酬収益</t>
        </is>
      </c>
      <c r="B21" s="40" t="n">
        <v>0</v>
      </c>
      <c r="C21" s="40" t="n">
        <v>0</v>
      </c>
      <c r="D21" s="40" t="n">
        <v>0</v>
      </c>
      <c r="E21" s="40" t="n">
        <v>0</v>
      </c>
      <c r="F21" s="40" t="n">
        <v>0</v>
      </c>
      <c r="G21" s="40" t="n">
        <v>0</v>
      </c>
      <c r="H21" s="40" t="n">
        <v>0</v>
      </c>
      <c r="I21" s="40" t="n">
        <v>385000</v>
      </c>
      <c r="J21" s="40" t="n">
        <v>0</v>
      </c>
      <c r="K21" s="40" t="n">
        <v>385000</v>
      </c>
      <c r="L21" s="40" t="n">
        <v>0</v>
      </c>
      <c r="M21" s="40" t="n">
        <v>385000</v>
      </c>
      <c r="N21" s="40" t="n">
        <v>1155000</v>
      </c>
    </row>
    <row r="22">
      <c r="A22" s="5" t="inlineStr"/>
    </row>
    <row r="23">
      <c r="A23" s="4" t="inlineStr">
        <is>
          <t>【月額掲載料】</t>
        </is>
      </c>
    </row>
    <row r="24">
      <c r="A24" s="4" t="inlineStr">
        <is>
          <t xml:space="preserve">  月額掲載料</t>
        </is>
      </c>
      <c r="B24" s="40" t="n">
        <v>0</v>
      </c>
      <c r="C24" s="40" t="n">
        <v>0</v>
      </c>
      <c r="D24" s="40" t="n">
        <v>0</v>
      </c>
      <c r="E24" s="40" t="n">
        <v>0</v>
      </c>
      <c r="F24" s="40" t="n">
        <v>60000</v>
      </c>
      <c r="G24" s="40" t="n">
        <v>80000</v>
      </c>
      <c r="H24" s="40" t="n">
        <v>100000</v>
      </c>
      <c r="I24" s="40" t="n">
        <v>120000</v>
      </c>
      <c r="J24" s="40" t="n">
        <v>140000</v>
      </c>
      <c r="K24" s="40" t="n">
        <v>160000</v>
      </c>
      <c r="L24" s="40" t="n">
        <v>180000</v>
      </c>
      <c r="M24" s="40" t="n">
        <v>200000</v>
      </c>
      <c r="N24" s="40" t="n">
        <v>1040000</v>
      </c>
    </row>
    <row r="25">
      <c r="A25" s="5" t="inlineStr"/>
    </row>
    <row r="26">
      <c r="A26" s="43" t="inlineStr">
        <is>
          <t>月間売上合計</t>
        </is>
      </c>
      <c r="B26" s="44" t="n">
        <v>0</v>
      </c>
      <c r="C26" s="44" t="n">
        <v>0</v>
      </c>
      <c r="D26" s="44" t="n">
        <v>0</v>
      </c>
      <c r="E26" s="44" t="n">
        <v>0</v>
      </c>
      <c r="F26" s="44" t="n">
        <v>132600</v>
      </c>
      <c r="G26" s="44" t="n">
        <v>152600</v>
      </c>
      <c r="H26" s="44" t="n">
        <v>179200</v>
      </c>
      <c r="I26" s="44" t="n">
        <v>584200</v>
      </c>
      <c r="J26" s="44" t="n">
        <v>285200</v>
      </c>
      <c r="K26" s="44" t="n">
        <v>690200</v>
      </c>
      <c r="L26" s="44" t="n">
        <v>331800</v>
      </c>
      <c r="M26" s="44" t="n">
        <v>736800</v>
      </c>
      <c r="N26" s="44" t="n">
        <v>3092600</v>
      </c>
    </row>
    <row r="27">
      <c r="A27" s="43" t="inlineStr">
        <is>
          <t>累計売上</t>
        </is>
      </c>
      <c r="B27" s="44" t="n">
        <v>0</v>
      </c>
      <c r="C27" s="44" t="n">
        <v>0</v>
      </c>
      <c r="D27" s="44" t="n">
        <v>0</v>
      </c>
      <c r="E27" s="44" t="n">
        <v>0</v>
      </c>
      <c r="F27" s="44" t="n">
        <v>132600</v>
      </c>
      <c r="G27" s="44" t="n">
        <v>285200</v>
      </c>
      <c r="H27" s="44" t="n">
        <v>464400</v>
      </c>
      <c r="I27" s="44" t="n">
        <v>1048600</v>
      </c>
      <c r="J27" s="44" t="n">
        <v>1333800</v>
      </c>
      <c r="K27" s="44" t="n">
        <v>2024000</v>
      </c>
      <c r="L27" s="44" t="n">
        <v>2355800</v>
      </c>
      <c r="M27" s="44" t="n">
        <v>3092600</v>
      </c>
      <c r="N27" s="44" t="n">
        <v>10737000</v>
      </c>
    </row>
    <row r="28">
      <c r="A28" s="5" t="inlineStr"/>
    </row>
    <row r="29">
      <c r="A29" s="4" t="inlineStr">
        <is>
          <t>【年間件数サマリー】</t>
        </is>
      </c>
    </row>
    <row r="30">
      <c r="A30" s="4" t="inlineStr">
        <is>
          <t xml:space="preserve">  資料請求 合計件数</t>
        </is>
      </c>
      <c r="N30" s="40" t="n">
        <v>16</v>
      </c>
    </row>
    <row r="31">
      <c r="A31" s="4" t="inlineStr">
        <is>
          <t xml:space="preserve">  見学会来場 合計件数</t>
        </is>
      </c>
      <c r="N31" s="40" t="n">
        <v>12</v>
      </c>
    </row>
    <row r="32">
      <c r="A32" s="4" t="inlineStr">
        <is>
          <t xml:space="preserve">  成約 合計件数</t>
        </is>
      </c>
      <c r="N32" s="40" t="n">
        <v>3</v>
      </c>
    </row>
    <row r="35">
      <c r="A35" s="2" t="inlineStr">
        <is>
          <t>単価設定の詳細（プラン構成比による加重平均）</t>
        </is>
      </c>
    </row>
    <row r="36">
      <c r="A36" s="39" t="inlineStr">
        <is>
          <t>プラン</t>
        </is>
      </c>
      <c r="B36" s="39" t="inlineStr">
        <is>
          <t>構成比</t>
        </is>
      </c>
      <c r="C36" s="39" t="inlineStr">
        <is>
          <t>資料請求単価</t>
        </is>
      </c>
      <c r="D36" s="39" t="inlineStr">
        <is>
          <t>見学会単価</t>
        </is>
      </c>
      <c r="E36" s="39" t="inlineStr">
        <is>
          <t>成約報酬率</t>
        </is>
      </c>
    </row>
    <row r="37">
      <c r="A37" s="45" t="inlineStr">
        <is>
          <t>成果報酬</t>
        </is>
      </c>
      <c r="B37" s="46" t="n">
        <v>0.6</v>
      </c>
      <c r="C37" s="47" t="n">
        <v>8000</v>
      </c>
      <c r="D37" s="47" t="n">
        <v>80000</v>
      </c>
      <c r="E37" s="48" t="n">
        <v>0.04</v>
      </c>
    </row>
    <row r="38">
      <c r="A38" s="45" t="inlineStr">
        <is>
          <t>掲載ベーシック</t>
        </is>
      </c>
      <c r="B38" s="46" t="n">
        <v>0.3</v>
      </c>
      <c r="C38" s="47" t="n">
        <v>5000</v>
      </c>
      <c r="D38" s="47" t="n">
        <v>50000</v>
      </c>
      <c r="E38" s="48" t="n">
        <v>0.03</v>
      </c>
    </row>
    <row r="39">
      <c r="A39" s="45" t="inlineStr">
        <is>
          <t>掲載プロ</t>
        </is>
      </c>
      <c r="B39" s="46" t="n">
        <v>0.1</v>
      </c>
      <c r="C39" s="47" t="n">
        <v>3000</v>
      </c>
      <c r="D39" s="47" t="n">
        <v>30000</v>
      </c>
      <c r="E39" s="48" t="n">
        <v>0.02</v>
      </c>
    </row>
    <row r="40">
      <c r="A40" s="49" t="inlineStr">
        <is>
          <t>加重平均</t>
        </is>
      </c>
      <c r="B40" s="50" t="n">
        <v>1</v>
      </c>
      <c r="C40" s="51" t="n">
        <v>6600</v>
      </c>
      <c r="D40" s="51" t="n">
        <v>66000</v>
      </c>
      <c r="E40" s="52" t="n">
        <v>0.035</v>
      </c>
    </row>
  </sheetData>
  <mergeCells count="2">
    <mergeCell ref="A35:E35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7AE60"/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5" customHeight="1">
      <c r="A1" s="38" t="inlineStr">
        <is>
          <t>標準シナリオ — 収益詳細（件数×単価）</t>
        </is>
      </c>
    </row>
    <row r="3">
      <c r="A3" s="39" t="inlineStr">
        <is>
          <t>指標</t>
        </is>
      </c>
      <c r="B3" s="39" t="inlineStr">
        <is>
          <t>4月</t>
        </is>
      </c>
      <c r="C3" s="39" t="inlineStr">
        <is>
          <t>5月</t>
        </is>
      </c>
      <c r="D3" s="39" t="inlineStr">
        <is>
          <t>6月</t>
        </is>
      </c>
      <c r="E3" s="39" t="inlineStr">
        <is>
          <t>7月</t>
        </is>
      </c>
      <c r="F3" s="39" t="inlineStr">
        <is>
          <t>8月</t>
        </is>
      </c>
      <c r="G3" s="39" t="inlineStr">
        <is>
          <t>9月</t>
        </is>
      </c>
      <c r="H3" s="39" t="inlineStr">
        <is>
          <t>10月</t>
        </is>
      </c>
      <c r="I3" s="39" t="inlineStr">
        <is>
          <t>11月</t>
        </is>
      </c>
      <c r="J3" s="39" t="inlineStr">
        <is>
          <t>12月</t>
        </is>
      </c>
      <c r="K3" s="39" t="inlineStr">
        <is>
          <t>1月</t>
        </is>
      </c>
      <c r="L3" s="39" t="inlineStr">
        <is>
          <t>2月</t>
        </is>
      </c>
      <c r="M3" s="39" t="inlineStr">
        <is>
          <t>3月</t>
        </is>
      </c>
      <c r="N3" s="39" t="inlineStr">
        <is>
          <t>年間合計</t>
        </is>
      </c>
    </row>
    <row r="4">
      <c r="A4" s="4" t="inlineStr">
        <is>
          <t>有料掲載社数</t>
        </is>
      </c>
      <c r="B4" s="40" t="n">
        <v>0</v>
      </c>
      <c r="C4" s="40" t="n">
        <v>0</v>
      </c>
      <c r="D4" s="40" t="n">
        <v>0</v>
      </c>
      <c r="E4" s="40" t="n">
        <v>0</v>
      </c>
      <c r="F4" s="40" t="n">
        <v>12</v>
      </c>
      <c r="G4" s="40" t="n">
        <v>14</v>
      </c>
      <c r="H4" s="40" t="n">
        <v>16</v>
      </c>
      <c r="I4" s="40" t="n">
        <v>18</v>
      </c>
      <c r="J4" s="40" t="n">
        <v>20</v>
      </c>
      <c r="K4" s="40" t="n">
        <v>22</v>
      </c>
      <c r="L4" s="40" t="n">
        <v>24</v>
      </c>
      <c r="M4" s="40" t="n">
        <v>26</v>
      </c>
      <c r="N4" s="40" t="n">
        <v>152</v>
      </c>
    </row>
    <row r="5">
      <c r="A5" s="5" t="inlineStr"/>
    </row>
    <row r="6">
      <c r="A6" s="4" t="inlineStr">
        <is>
          <t>【資料請求】</t>
        </is>
      </c>
    </row>
    <row r="7">
      <c r="A7" s="4" t="inlineStr">
        <is>
          <t xml:space="preserve">  件数</t>
        </is>
      </c>
      <c r="B7" s="40" t="n">
        <v>0</v>
      </c>
      <c r="C7" s="40" t="n">
        <v>0</v>
      </c>
      <c r="D7" s="40" t="n">
        <v>0</v>
      </c>
      <c r="E7" s="40" t="n">
        <v>0</v>
      </c>
      <c r="F7" s="40" t="n">
        <v>11</v>
      </c>
      <c r="G7" s="40" t="n">
        <v>13</v>
      </c>
      <c r="H7" s="40" t="n">
        <v>14</v>
      </c>
      <c r="I7" s="40" t="n">
        <v>16</v>
      </c>
      <c r="J7" s="40" t="n">
        <v>18</v>
      </c>
      <c r="K7" s="40" t="n">
        <v>20</v>
      </c>
      <c r="L7" s="40" t="n">
        <v>22</v>
      </c>
      <c r="M7" s="40" t="n">
        <v>23</v>
      </c>
      <c r="N7" s="40" t="n">
        <v>137</v>
      </c>
    </row>
    <row r="8">
      <c r="A8" s="7" t="inlineStr">
        <is>
          <t xml:space="preserve">  × 単価（加重平均 ¥5,300）</t>
        </is>
      </c>
      <c r="B8" s="19" t="n">
        <v>0</v>
      </c>
      <c r="C8" s="19" t="n">
        <v>0</v>
      </c>
      <c r="D8" s="19" t="n">
        <v>0</v>
      </c>
      <c r="E8" s="19" t="n">
        <v>0</v>
      </c>
      <c r="F8" s="19" t="n">
        <v>5300</v>
      </c>
      <c r="G8" s="19" t="n">
        <v>5300</v>
      </c>
      <c r="H8" s="19" t="n">
        <v>5300</v>
      </c>
      <c r="I8" s="19" t="n">
        <v>5300</v>
      </c>
      <c r="J8" s="19" t="n">
        <v>5300</v>
      </c>
      <c r="K8" s="19" t="n">
        <v>5300</v>
      </c>
      <c r="L8" s="19" t="n">
        <v>5300</v>
      </c>
      <c r="M8" s="19" t="n">
        <v>5300</v>
      </c>
      <c r="N8" s="19" t="n">
        <v>42400</v>
      </c>
    </row>
    <row r="9">
      <c r="A9" s="4" t="inlineStr">
        <is>
          <t xml:space="preserve">  ＝ 資料請求収益</t>
        </is>
      </c>
      <c r="B9" s="40" t="n">
        <v>0</v>
      </c>
      <c r="C9" s="40" t="n">
        <v>0</v>
      </c>
      <c r="D9" s="40" t="n">
        <v>0</v>
      </c>
      <c r="E9" s="40" t="n">
        <v>0</v>
      </c>
      <c r="F9" s="40" t="n">
        <v>58300</v>
      </c>
      <c r="G9" s="40" t="n">
        <v>68900</v>
      </c>
      <c r="H9" s="40" t="n">
        <v>74200</v>
      </c>
      <c r="I9" s="40" t="n">
        <v>84800</v>
      </c>
      <c r="J9" s="40" t="n">
        <v>95400</v>
      </c>
      <c r="K9" s="40" t="n">
        <v>106000</v>
      </c>
      <c r="L9" s="40" t="n">
        <v>116600</v>
      </c>
      <c r="M9" s="40" t="n">
        <v>121900</v>
      </c>
      <c r="N9" s="40" t="n">
        <v>726100</v>
      </c>
    </row>
    <row r="10">
      <c r="A10" s="5" t="inlineStr"/>
    </row>
    <row r="11">
      <c r="A11" s="4" t="inlineStr">
        <is>
          <t>【見学会来場】</t>
        </is>
      </c>
    </row>
    <row r="12">
      <c r="A12" s="4" t="inlineStr">
        <is>
          <t xml:space="preserve">  件数</t>
        </is>
      </c>
      <c r="B12" s="40" t="n">
        <v>0</v>
      </c>
      <c r="C12" s="40" t="n">
        <v>0</v>
      </c>
      <c r="D12" s="40" t="n">
        <v>0</v>
      </c>
      <c r="E12" s="40" t="n">
        <v>0</v>
      </c>
      <c r="F12" s="40" t="n">
        <v>7</v>
      </c>
      <c r="G12" s="40" t="n">
        <v>8</v>
      </c>
      <c r="H12" s="40" t="n">
        <v>10</v>
      </c>
      <c r="I12" s="40" t="n">
        <v>11</v>
      </c>
      <c r="J12" s="40" t="n">
        <v>12</v>
      </c>
      <c r="K12" s="40" t="n">
        <v>13</v>
      </c>
      <c r="L12" s="40" t="n">
        <v>14</v>
      </c>
      <c r="M12" s="40" t="n">
        <v>16</v>
      </c>
      <c r="N12" s="40" t="n">
        <v>91</v>
      </c>
    </row>
    <row r="13">
      <c r="A13" s="7" t="inlineStr">
        <is>
          <t xml:space="preserve">  × 単価（加重平均 ¥53,000）</t>
        </is>
      </c>
      <c r="B13" s="19" t="n">
        <v>0</v>
      </c>
      <c r="C13" s="19" t="n">
        <v>0</v>
      </c>
      <c r="D13" s="19" t="n">
        <v>0</v>
      </c>
      <c r="E13" s="19" t="n">
        <v>0</v>
      </c>
      <c r="F13" s="19" t="n">
        <v>53000</v>
      </c>
      <c r="G13" s="19" t="n">
        <v>53000</v>
      </c>
      <c r="H13" s="19" t="n">
        <v>53000</v>
      </c>
      <c r="I13" s="19" t="n">
        <v>53000</v>
      </c>
      <c r="J13" s="19" t="n">
        <v>53000</v>
      </c>
      <c r="K13" s="19" t="n">
        <v>53000</v>
      </c>
      <c r="L13" s="19" t="n">
        <v>53000</v>
      </c>
      <c r="M13" s="19" t="n">
        <v>53000</v>
      </c>
      <c r="N13" s="19" t="n">
        <v>424000</v>
      </c>
    </row>
    <row r="14">
      <c r="A14" s="4" t="inlineStr">
        <is>
          <t xml:space="preserve">  ＝ 見学会来場収益</t>
        </is>
      </c>
      <c r="B14" s="40" t="n">
        <v>0</v>
      </c>
      <c r="C14" s="40" t="n">
        <v>0</v>
      </c>
      <c r="D14" s="40" t="n">
        <v>0</v>
      </c>
      <c r="E14" s="40" t="n">
        <v>0</v>
      </c>
      <c r="F14" s="40" t="n">
        <v>371000</v>
      </c>
      <c r="G14" s="40" t="n">
        <v>424000</v>
      </c>
      <c r="H14" s="40" t="n">
        <v>530000</v>
      </c>
      <c r="I14" s="40" t="n">
        <v>583000</v>
      </c>
      <c r="J14" s="40" t="n">
        <v>636000</v>
      </c>
      <c r="K14" s="40" t="n">
        <v>689000</v>
      </c>
      <c r="L14" s="40" t="n">
        <v>742000</v>
      </c>
      <c r="M14" s="40" t="n">
        <v>848000</v>
      </c>
      <c r="N14" s="40" t="n">
        <v>4823000</v>
      </c>
    </row>
    <row r="15">
      <c r="A15" s="5" t="inlineStr"/>
    </row>
    <row r="16">
      <c r="A16" s="4" t="inlineStr">
        <is>
          <t>【住宅契約成約】</t>
        </is>
      </c>
    </row>
    <row r="17">
      <c r="A17" s="4" t="inlineStr">
        <is>
          <t xml:space="preserve">  成約件数</t>
        </is>
      </c>
      <c r="B17" s="40" t="n">
        <v>0</v>
      </c>
      <c r="C17" s="40" t="n">
        <v>0</v>
      </c>
      <c r="D17" s="40" t="n">
        <v>0</v>
      </c>
      <c r="E17" s="40" t="n">
        <v>0</v>
      </c>
      <c r="F17" s="40" t="n">
        <v>1</v>
      </c>
      <c r="G17" s="40" t="n">
        <v>1</v>
      </c>
      <c r="H17" s="40" t="n">
        <v>1</v>
      </c>
      <c r="I17" s="40" t="n">
        <v>2</v>
      </c>
      <c r="J17" s="40" t="n">
        <v>2</v>
      </c>
      <c r="K17" s="40" t="n">
        <v>2</v>
      </c>
      <c r="L17" s="40" t="n">
        <v>2</v>
      </c>
      <c r="M17" s="40" t="n">
        <v>2</v>
      </c>
      <c r="N17" s="40" t="n">
        <v>13</v>
      </c>
    </row>
    <row r="18">
      <c r="A18" s="7" t="inlineStr">
        <is>
          <t xml:space="preserve">  × 平均契約金額 ¥2,500万円</t>
        </is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25000000</v>
      </c>
      <c r="G18" s="19" t="n">
        <v>25000000</v>
      </c>
      <c r="H18" s="19" t="n">
        <v>25000000</v>
      </c>
      <c r="I18" s="19" t="n">
        <v>25000000</v>
      </c>
      <c r="J18" s="19" t="n">
        <v>25000000</v>
      </c>
      <c r="K18" s="19" t="n">
        <v>25000000</v>
      </c>
      <c r="L18" s="19" t="n">
        <v>25000000</v>
      </c>
      <c r="M18" s="19" t="n">
        <v>25000000</v>
      </c>
      <c r="N18" s="19" t="n">
        <v>200000000</v>
      </c>
    </row>
    <row r="19">
      <c r="A19" s="7" t="inlineStr">
        <is>
          <t xml:space="preserve">  × 報酬率（加重平均 3.0%）</t>
        </is>
      </c>
      <c r="B19" s="41" t="n">
        <v>0</v>
      </c>
      <c r="C19" s="41" t="n">
        <v>0</v>
      </c>
      <c r="D19" s="41" t="n">
        <v>0</v>
      </c>
      <c r="E19" s="41" t="n">
        <v>0</v>
      </c>
      <c r="F19" s="41" t="n">
        <v>0.03</v>
      </c>
      <c r="G19" s="41" t="n">
        <v>0.03</v>
      </c>
      <c r="H19" s="41" t="n">
        <v>0.03</v>
      </c>
      <c r="I19" s="41" t="n">
        <v>0.03</v>
      </c>
      <c r="J19" s="41" t="n">
        <v>0.03</v>
      </c>
      <c r="K19" s="41" t="n">
        <v>0.03</v>
      </c>
      <c r="L19" s="41" t="n">
        <v>0.03</v>
      </c>
      <c r="M19" s="41" t="n">
        <v>0.03</v>
      </c>
      <c r="N19" s="41" t="n">
        <v>0.24</v>
      </c>
    </row>
    <row r="20">
      <c r="A20" s="7" t="inlineStr">
        <is>
          <t xml:space="preserve">  × 回収率（70%）</t>
        </is>
      </c>
      <c r="B20" s="42" t="n">
        <v>0</v>
      </c>
      <c r="C20" s="42" t="n">
        <v>0</v>
      </c>
      <c r="D20" s="42" t="n">
        <v>0</v>
      </c>
      <c r="E20" s="42" t="n">
        <v>0</v>
      </c>
      <c r="F20" s="42" t="n">
        <v>0.7</v>
      </c>
      <c r="G20" s="42" t="n">
        <v>0.7</v>
      </c>
      <c r="H20" s="42" t="n">
        <v>0.7</v>
      </c>
      <c r="I20" s="42" t="n">
        <v>0.7</v>
      </c>
      <c r="J20" s="42" t="n">
        <v>0.7</v>
      </c>
      <c r="K20" s="42" t="n">
        <v>0.7</v>
      </c>
      <c r="L20" s="42" t="n">
        <v>0.7</v>
      </c>
      <c r="M20" s="42" t="n">
        <v>0.7</v>
      </c>
      <c r="N20" s="42" t="n">
        <v>5.600000000000001</v>
      </c>
    </row>
    <row r="21">
      <c r="A21" s="4" t="inlineStr">
        <is>
          <t xml:space="preserve">  ＝ 成約報酬収益</t>
        </is>
      </c>
      <c r="B21" s="40" t="n">
        <v>0</v>
      </c>
      <c r="C21" s="40" t="n">
        <v>0</v>
      </c>
      <c r="D21" s="40" t="n">
        <v>0</v>
      </c>
      <c r="E21" s="40" t="n">
        <v>0</v>
      </c>
      <c r="F21" s="40" t="n">
        <v>525000</v>
      </c>
      <c r="G21" s="40" t="n">
        <v>525000</v>
      </c>
      <c r="H21" s="40" t="n">
        <v>525000</v>
      </c>
      <c r="I21" s="40" t="n">
        <v>1050000</v>
      </c>
      <c r="J21" s="40" t="n">
        <v>1050000</v>
      </c>
      <c r="K21" s="40" t="n">
        <v>1050000</v>
      </c>
      <c r="L21" s="40" t="n">
        <v>1050000</v>
      </c>
      <c r="M21" s="40" t="n">
        <v>1050000</v>
      </c>
      <c r="N21" s="40" t="n">
        <v>6825000</v>
      </c>
    </row>
    <row r="22">
      <c r="A22" s="5" t="inlineStr"/>
    </row>
    <row r="23">
      <c r="A23" s="4" t="inlineStr">
        <is>
          <t>【月額掲載料】</t>
        </is>
      </c>
    </row>
    <row r="24">
      <c r="A24" s="4" t="inlineStr">
        <is>
          <t xml:space="preserve">  月額掲載料</t>
        </is>
      </c>
      <c r="B24" s="40" t="n">
        <v>0</v>
      </c>
      <c r="C24" s="40" t="n">
        <v>0</v>
      </c>
      <c r="D24" s="40" t="n">
        <v>0</v>
      </c>
      <c r="E24" s="40" t="n">
        <v>0</v>
      </c>
      <c r="F24" s="40" t="n">
        <v>200000</v>
      </c>
      <c r="G24" s="40" t="n">
        <v>240000</v>
      </c>
      <c r="H24" s="40" t="n">
        <v>280000</v>
      </c>
      <c r="I24" s="40" t="n">
        <v>320000</v>
      </c>
      <c r="J24" s="40" t="n">
        <v>360000</v>
      </c>
      <c r="K24" s="40" t="n">
        <v>400000</v>
      </c>
      <c r="L24" s="40" t="n">
        <v>440000</v>
      </c>
      <c r="M24" s="40" t="n">
        <v>480000</v>
      </c>
      <c r="N24" s="40" t="n">
        <v>2720000</v>
      </c>
    </row>
    <row r="25">
      <c r="A25" s="5" t="inlineStr"/>
    </row>
    <row r="26">
      <c r="A26" s="43" t="inlineStr">
        <is>
          <t>月間売上合計</t>
        </is>
      </c>
      <c r="B26" s="44" t="n">
        <v>0</v>
      </c>
      <c r="C26" s="44" t="n">
        <v>0</v>
      </c>
      <c r="D26" s="44" t="n">
        <v>0</v>
      </c>
      <c r="E26" s="44" t="n">
        <v>0</v>
      </c>
      <c r="F26" s="44" t="n">
        <v>1154300</v>
      </c>
      <c r="G26" s="44" t="n">
        <v>1257900</v>
      </c>
      <c r="H26" s="44" t="n">
        <v>1409200</v>
      </c>
      <c r="I26" s="44" t="n">
        <v>2037800</v>
      </c>
      <c r="J26" s="44" t="n">
        <v>2141400</v>
      </c>
      <c r="K26" s="44" t="n">
        <v>2245000</v>
      </c>
      <c r="L26" s="44" t="n">
        <v>2348600</v>
      </c>
      <c r="M26" s="44" t="n">
        <v>2499900</v>
      </c>
      <c r="N26" s="44" t="n">
        <v>15094100</v>
      </c>
    </row>
    <row r="27">
      <c r="A27" s="43" t="inlineStr">
        <is>
          <t>累計売上</t>
        </is>
      </c>
      <c r="B27" s="44" t="n">
        <v>0</v>
      </c>
      <c r="C27" s="44" t="n">
        <v>0</v>
      </c>
      <c r="D27" s="44" t="n">
        <v>0</v>
      </c>
      <c r="E27" s="44" t="n">
        <v>0</v>
      </c>
      <c r="F27" s="44" t="n">
        <v>1154300</v>
      </c>
      <c r="G27" s="44" t="n">
        <v>2412200</v>
      </c>
      <c r="H27" s="44" t="n">
        <v>3821400</v>
      </c>
      <c r="I27" s="44" t="n">
        <v>5859200</v>
      </c>
      <c r="J27" s="44" t="n">
        <v>8000600</v>
      </c>
      <c r="K27" s="44" t="n">
        <v>10245600</v>
      </c>
      <c r="L27" s="44" t="n">
        <v>12594200</v>
      </c>
      <c r="M27" s="44" t="n">
        <v>15094100</v>
      </c>
      <c r="N27" s="44" t="n">
        <v>59181600</v>
      </c>
    </row>
    <row r="28">
      <c r="A28" s="5" t="inlineStr"/>
    </row>
    <row r="29">
      <c r="A29" s="4" t="inlineStr">
        <is>
          <t>【年間件数サマリー】</t>
        </is>
      </c>
    </row>
    <row r="30">
      <c r="A30" s="4" t="inlineStr">
        <is>
          <t xml:space="preserve">  資料請求 合計件数</t>
        </is>
      </c>
      <c r="N30" s="40" t="n">
        <v>137</v>
      </c>
    </row>
    <row r="31">
      <c r="A31" s="4" t="inlineStr">
        <is>
          <t xml:space="preserve">  見学会来場 合計件数</t>
        </is>
      </c>
      <c r="N31" s="40" t="n">
        <v>91</v>
      </c>
    </row>
    <row r="32">
      <c r="A32" s="4" t="inlineStr">
        <is>
          <t xml:space="preserve">  成約 合計件数</t>
        </is>
      </c>
      <c r="N32" s="40" t="n">
        <v>13</v>
      </c>
    </row>
    <row r="35">
      <c r="A35" s="2" t="inlineStr">
        <is>
          <t>単価設定の詳細（プラン構成比による加重平均）</t>
        </is>
      </c>
    </row>
    <row r="36">
      <c r="A36" s="39" t="inlineStr">
        <is>
          <t>プラン</t>
        </is>
      </c>
      <c r="B36" s="39" t="inlineStr">
        <is>
          <t>構成比</t>
        </is>
      </c>
      <c r="C36" s="39" t="inlineStr">
        <is>
          <t>資料請求単価</t>
        </is>
      </c>
      <c r="D36" s="39" t="inlineStr">
        <is>
          <t>見学会単価</t>
        </is>
      </c>
      <c r="E36" s="39" t="inlineStr">
        <is>
          <t>成約報酬率</t>
        </is>
      </c>
    </row>
    <row r="37">
      <c r="A37" s="45" t="inlineStr">
        <is>
          <t>成果報酬</t>
        </is>
      </c>
      <c r="B37" s="46" t="n">
        <v>0.3</v>
      </c>
      <c r="C37" s="47" t="n">
        <v>8000</v>
      </c>
      <c r="D37" s="47" t="n">
        <v>80000</v>
      </c>
      <c r="E37" s="48" t="n">
        <v>0.04</v>
      </c>
    </row>
    <row r="38">
      <c r="A38" s="45" t="inlineStr">
        <is>
          <t>掲載ベーシック</t>
        </is>
      </c>
      <c r="B38" s="46" t="n">
        <v>0.4</v>
      </c>
      <c r="C38" s="47" t="n">
        <v>5000</v>
      </c>
      <c r="D38" s="47" t="n">
        <v>50000</v>
      </c>
      <c r="E38" s="48" t="n">
        <v>0.03</v>
      </c>
    </row>
    <row r="39">
      <c r="A39" s="45" t="inlineStr">
        <is>
          <t>掲載プロ</t>
        </is>
      </c>
      <c r="B39" s="46" t="n">
        <v>0.3</v>
      </c>
      <c r="C39" s="47" t="n">
        <v>3000</v>
      </c>
      <c r="D39" s="47" t="n">
        <v>30000</v>
      </c>
      <c r="E39" s="48" t="n">
        <v>0.02</v>
      </c>
    </row>
    <row r="40">
      <c r="A40" s="49" t="inlineStr">
        <is>
          <t>加重平均</t>
        </is>
      </c>
      <c r="B40" s="50" t="n">
        <v>1</v>
      </c>
      <c r="C40" s="51" t="n">
        <v>5300</v>
      </c>
      <c r="D40" s="51" t="n">
        <v>53000</v>
      </c>
      <c r="E40" s="52" t="n">
        <v>0.03</v>
      </c>
    </row>
  </sheetData>
  <mergeCells count="2">
    <mergeCell ref="A35:E35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5" customHeight="1">
      <c r="A1" s="38" t="inlineStr">
        <is>
          <t>楽観的シナリオ — 収益詳細（件数×単価）</t>
        </is>
      </c>
    </row>
    <row r="3">
      <c r="A3" s="39" t="inlineStr">
        <is>
          <t>指標</t>
        </is>
      </c>
      <c r="B3" s="39" t="inlineStr">
        <is>
          <t>4月</t>
        </is>
      </c>
      <c r="C3" s="39" t="inlineStr">
        <is>
          <t>5月</t>
        </is>
      </c>
      <c r="D3" s="39" t="inlineStr">
        <is>
          <t>6月</t>
        </is>
      </c>
      <c r="E3" s="39" t="inlineStr">
        <is>
          <t>7月</t>
        </is>
      </c>
      <c r="F3" s="39" t="inlineStr">
        <is>
          <t>8月</t>
        </is>
      </c>
      <c r="G3" s="39" t="inlineStr">
        <is>
          <t>9月</t>
        </is>
      </c>
      <c r="H3" s="39" t="inlineStr">
        <is>
          <t>10月</t>
        </is>
      </c>
      <c r="I3" s="39" t="inlineStr">
        <is>
          <t>11月</t>
        </is>
      </c>
      <c r="J3" s="39" t="inlineStr">
        <is>
          <t>12月</t>
        </is>
      </c>
      <c r="K3" s="39" t="inlineStr">
        <is>
          <t>1月</t>
        </is>
      </c>
      <c r="L3" s="39" t="inlineStr">
        <is>
          <t>2月</t>
        </is>
      </c>
      <c r="M3" s="39" t="inlineStr">
        <is>
          <t>3月</t>
        </is>
      </c>
      <c r="N3" s="39" t="inlineStr">
        <is>
          <t>年間合計</t>
        </is>
      </c>
    </row>
    <row r="4">
      <c r="A4" s="4" t="inlineStr">
        <is>
          <t>有料掲載社数</t>
        </is>
      </c>
      <c r="B4" s="40" t="n">
        <v>0</v>
      </c>
      <c r="C4" s="40" t="n">
        <v>0</v>
      </c>
      <c r="D4" s="40" t="n">
        <v>0</v>
      </c>
      <c r="E4" s="40" t="n">
        <v>0</v>
      </c>
      <c r="F4" s="40" t="n">
        <v>22</v>
      </c>
      <c r="G4" s="40" t="n">
        <v>25</v>
      </c>
      <c r="H4" s="40" t="n">
        <v>28</v>
      </c>
      <c r="I4" s="40" t="n">
        <v>31</v>
      </c>
      <c r="J4" s="40" t="n">
        <v>34</v>
      </c>
      <c r="K4" s="40" t="n">
        <v>37</v>
      </c>
      <c r="L4" s="40" t="n">
        <v>40</v>
      </c>
      <c r="M4" s="40" t="n">
        <v>43</v>
      </c>
      <c r="N4" s="40" t="n">
        <v>260</v>
      </c>
    </row>
    <row r="5">
      <c r="A5" s="5" t="inlineStr"/>
    </row>
    <row r="6">
      <c r="A6" s="4" t="inlineStr">
        <is>
          <t>【資料請求】</t>
        </is>
      </c>
    </row>
    <row r="7">
      <c r="A7" s="4" t="inlineStr">
        <is>
          <t xml:space="preserve">  件数</t>
        </is>
      </c>
      <c r="B7" s="40" t="n">
        <v>0</v>
      </c>
      <c r="C7" s="40" t="n">
        <v>0</v>
      </c>
      <c r="D7" s="40" t="n">
        <v>0</v>
      </c>
      <c r="E7" s="40" t="n">
        <v>0</v>
      </c>
      <c r="F7" s="40" t="n">
        <v>40</v>
      </c>
      <c r="G7" s="40" t="n">
        <v>45</v>
      </c>
      <c r="H7" s="40" t="n">
        <v>50</v>
      </c>
      <c r="I7" s="40" t="n">
        <v>56</v>
      </c>
      <c r="J7" s="40" t="n">
        <v>61</v>
      </c>
      <c r="K7" s="40" t="n">
        <v>67</v>
      </c>
      <c r="L7" s="40" t="n">
        <v>72</v>
      </c>
      <c r="M7" s="40" t="n">
        <v>77</v>
      </c>
      <c r="N7" s="40" t="n">
        <v>468</v>
      </c>
    </row>
    <row r="8">
      <c r="A8" s="7" t="inlineStr">
        <is>
          <t xml:space="preserve">  × 単価（加重平均 ¥4,600）</t>
        </is>
      </c>
      <c r="B8" s="19" t="n">
        <v>0</v>
      </c>
      <c r="C8" s="19" t="n">
        <v>0</v>
      </c>
      <c r="D8" s="19" t="n">
        <v>0</v>
      </c>
      <c r="E8" s="19" t="n">
        <v>0</v>
      </c>
      <c r="F8" s="19" t="n">
        <v>4600</v>
      </c>
      <c r="G8" s="19" t="n">
        <v>4600</v>
      </c>
      <c r="H8" s="19" t="n">
        <v>4600</v>
      </c>
      <c r="I8" s="19" t="n">
        <v>4600</v>
      </c>
      <c r="J8" s="19" t="n">
        <v>4600</v>
      </c>
      <c r="K8" s="19" t="n">
        <v>4600</v>
      </c>
      <c r="L8" s="19" t="n">
        <v>4600</v>
      </c>
      <c r="M8" s="19" t="n">
        <v>4600</v>
      </c>
      <c r="N8" s="19" t="n">
        <v>36800</v>
      </c>
    </row>
    <row r="9">
      <c r="A9" s="4" t="inlineStr">
        <is>
          <t xml:space="preserve">  ＝ 資料請求収益</t>
        </is>
      </c>
      <c r="B9" s="40" t="n">
        <v>0</v>
      </c>
      <c r="C9" s="40" t="n">
        <v>0</v>
      </c>
      <c r="D9" s="40" t="n">
        <v>0</v>
      </c>
      <c r="E9" s="40" t="n">
        <v>0</v>
      </c>
      <c r="F9" s="40" t="n">
        <v>184000</v>
      </c>
      <c r="G9" s="40" t="n">
        <v>207000</v>
      </c>
      <c r="H9" s="40" t="n">
        <v>230000</v>
      </c>
      <c r="I9" s="40" t="n">
        <v>257600</v>
      </c>
      <c r="J9" s="40" t="n">
        <v>280600</v>
      </c>
      <c r="K9" s="40" t="n">
        <v>308200</v>
      </c>
      <c r="L9" s="40" t="n">
        <v>331200</v>
      </c>
      <c r="M9" s="40" t="n">
        <v>354200</v>
      </c>
      <c r="N9" s="40" t="n">
        <v>2152800</v>
      </c>
    </row>
    <row r="10">
      <c r="A10" s="5" t="inlineStr"/>
    </row>
    <row r="11">
      <c r="A11" s="4" t="inlineStr">
        <is>
          <t>【見学会来場】</t>
        </is>
      </c>
    </row>
    <row r="12">
      <c r="A12" s="4" t="inlineStr">
        <is>
          <t xml:space="preserve">  件数</t>
        </is>
      </c>
      <c r="B12" s="40" t="n">
        <v>0</v>
      </c>
      <c r="C12" s="40" t="n">
        <v>0</v>
      </c>
      <c r="D12" s="40" t="n">
        <v>0</v>
      </c>
      <c r="E12" s="40" t="n">
        <v>0</v>
      </c>
      <c r="F12" s="40" t="n">
        <v>26</v>
      </c>
      <c r="G12" s="40" t="n">
        <v>30</v>
      </c>
      <c r="H12" s="40" t="n">
        <v>34</v>
      </c>
      <c r="I12" s="40" t="n">
        <v>37</v>
      </c>
      <c r="J12" s="40" t="n">
        <v>41</v>
      </c>
      <c r="K12" s="40" t="n">
        <v>44</v>
      </c>
      <c r="L12" s="40" t="n">
        <v>48</v>
      </c>
      <c r="M12" s="40" t="n">
        <v>52</v>
      </c>
      <c r="N12" s="40" t="n">
        <v>312</v>
      </c>
    </row>
    <row r="13">
      <c r="A13" s="7" t="inlineStr">
        <is>
          <t xml:space="preserve">  × 単価（加重平均 ¥46,000）</t>
        </is>
      </c>
      <c r="B13" s="19" t="n">
        <v>0</v>
      </c>
      <c r="C13" s="19" t="n">
        <v>0</v>
      </c>
      <c r="D13" s="19" t="n">
        <v>0</v>
      </c>
      <c r="E13" s="19" t="n">
        <v>0</v>
      </c>
      <c r="F13" s="19" t="n">
        <v>46000</v>
      </c>
      <c r="G13" s="19" t="n">
        <v>46000</v>
      </c>
      <c r="H13" s="19" t="n">
        <v>46000</v>
      </c>
      <c r="I13" s="19" t="n">
        <v>46000</v>
      </c>
      <c r="J13" s="19" t="n">
        <v>46000</v>
      </c>
      <c r="K13" s="19" t="n">
        <v>46000</v>
      </c>
      <c r="L13" s="19" t="n">
        <v>46000</v>
      </c>
      <c r="M13" s="19" t="n">
        <v>46000</v>
      </c>
      <c r="N13" s="19" t="n">
        <v>368000</v>
      </c>
    </row>
    <row r="14">
      <c r="A14" s="4" t="inlineStr">
        <is>
          <t xml:space="preserve">  ＝ 見学会来場収益</t>
        </is>
      </c>
      <c r="B14" s="40" t="n">
        <v>0</v>
      </c>
      <c r="C14" s="40" t="n">
        <v>0</v>
      </c>
      <c r="D14" s="40" t="n">
        <v>0</v>
      </c>
      <c r="E14" s="40" t="n">
        <v>0</v>
      </c>
      <c r="F14" s="40" t="n">
        <v>1196000</v>
      </c>
      <c r="G14" s="40" t="n">
        <v>1380000</v>
      </c>
      <c r="H14" s="40" t="n">
        <v>1564000</v>
      </c>
      <c r="I14" s="40" t="n">
        <v>1702000</v>
      </c>
      <c r="J14" s="40" t="n">
        <v>1886000</v>
      </c>
      <c r="K14" s="40" t="n">
        <v>2024000</v>
      </c>
      <c r="L14" s="40" t="n">
        <v>2208000</v>
      </c>
      <c r="M14" s="40" t="n">
        <v>2392000</v>
      </c>
      <c r="N14" s="40" t="n">
        <v>14352000</v>
      </c>
    </row>
    <row r="15">
      <c r="A15" s="5" t="inlineStr"/>
    </row>
    <row r="16">
      <c r="A16" s="4" t="inlineStr">
        <is>
          <t>【住宅契約成約】</t>
        </is>
      </c>
    </row>
    <row r="17">
      <c r="A17" s="4" t="inlineStr">
        <is>
          <t xml:space="preserve">  成約件数</t>
        </is>
      </c>
      <c r="B17" s="40" t="n">
        <v>0</v>
      </c>
      <c r="C17" s="40" t="n">
        <v>0</v>
      </c>
      <c r="D17" s="40" t="n">
        <v>0</v>
      </c>
      <c r="E17" s="40" t="n">
        <v>0</v>
      </c>
      <c r="F17" s="40" t="n">
        <v>5</v>
      </c>
      <c r="G17" s="40" t="n">
        <v>6</v>
      </c>
      <c r="H17" s="40" t="n">
        <v>7</v>
      </c>
      <c r="I17" s="40" t="n">
        <v>7</v>
      </c>
      <c r="J17" s="40" t="n">
        <v>8</v>
      </c>
      <c r="K17" s="40" t="n">
        <v>9</v>
      </c>
      <c r="L17" s="40" t="n">
        <v>10</v>
      </c>
      <c r="M17" s="40" t="n">
        <v>10</v>
      </c>
      <c r="N17" s="40" t="n">
        <v>62</v>
      </c>
    </row>
    <row r="18">
      <c r="A18" s="7" t="inlineStr">
        <is>
          <t xml:space="preserve">  × 平均契約金額 ¥2,800万円</t>
        </is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28000000</v>
      </c>
      <c r="G18" s="19" t="n">
        <v>28000000</v>
      </c>
      <c r="H18" s="19" t="n">
        <v>28000000</v>
      </c>
      <c r="I18" s="19" t="n">
        <v>28000000</v>
      </c>
      <c r="J18" s="19" t="n">
        <v>28000000</v>
      </c>
      <c r="K18" s="19" t="n">
        <v>28000000</v>
      </c>
      <c r="L18" s="19" t="n">
        <v>28000000</v>
      </c>
      <c r="M18" s="19" t="n">
        <v>28000000</v>
      </c>
      <c r="N18" s="19" t="n">
        <v>224000000</v>
      </c>
    </row>
    <row r="19">
      <c r="A19" s="7" t="inlineStr">
        <is>
          <t xml:space="preserve">  × 報酬率（加重平均 2.7%）</t>
        </is>
      </c>
      <c r="B19" s="41" t="n">
        <v>0</v>
      </c>
      <c r="C19" s="41" t="n">
        <v>0</v>
      </c>
      <c r="D19" s="41" t="n">
        <v>0</v>
      </c>
      <c r="E19" s="41" t="n">
        <v>0</v>
      </c>
      <c r="F19" s="41" t="n">
        <v>0.027</v>
      </c>
      <c r="G19" s="41" t="n">
        <v>0.027</v>
      </c>
      <c r="H19" s="41" t="n">
        <v>0.027</v>
      </c>
      <c r="I19" s="41" t="n">
        <v>0.027</v>
      </c>
      <c r="J19" s="41" t="n">
        <v>0.027</v>
      </c>
      <c r="K19" s="41" t="n">
        <v>0.027</v>
      </c>
      <c r="L19" s="41" t="n">
        <v>0.027</v>
      </c>
      <c r="M19" s="41" t="n">
        <v>0.027</v>
      </c>
      <c r="N19" s="41" t="n">
        <v>0.216</v>
      </c>
    </row>
    <row r="20">
      <c r="A20" s="7" t="inlineStr">
        <is>
          <t xml:space="preserve">  × 回収率（90%）</t>
        </is>
      </c>
      <c r="B20" s="42" t="n">
        <v>0</v>
      </c>
      <c r="C20" s="42" t="n">
        <v>0</v>
      </c>
      <c r="D20" s="42" t="n">
        <v>0</v>
      </c>
      <c r="E20" s="42" t="n">
        <v>0</v>
      </c>
      <c r="F20" s="42" t="n">
        <v>0.9</v>
      </c>
      <c r="G20" s="42" t="n">
        <v>0.9</v>
      </c>
      <c r="H20" s="42" t="n">
        <v>0.9</v>
      </c>
      <c r="I20" s="42" t="n">
        <v>0.9</v>
      </c>
      <c r="J20" s="42" t="n">
        <v>0.9</v>
      </c>
      <c r="K20" s="42" t="n">
        <v>0.9</v>
      </c>
      <c r="L20" s="42" t="n">
        <v>0.9</v>
      </c>
      <c r="M20" s="42" t="n">
        <v>0.9</v>
      </c>
      <c r="N20" s="42" t="n">
        <v>7.200000000000001</v>
      </c>
    </row>
    <row r="21">
      <c r="A21" s="4" t="inlineStr">
        <is>
          <t xml:space="preserve">  ＝ 成約報酬収益</t>
        </is>
      </c>
      <c r="B21" s="40" t="n">
        <v>0</v>
      </c>
      <c r="C21" s="40" t="n">
        <v>0</v>
      </c>
      <c r="D21" s="40" t="n">
        <v>0</v>
      </c>
      <c r="E21" s="40" t="n">
        <v>0</v>
      </c>
      <c r="F21" s="40" t="n">
        <v>3402000</v>
      </c>
      <c r="G21" s="40" t="n">
        <v>4082400</v>
      </c>
      <c r="H21" s="40" t="n">
        <v>4762800</v>
      </c>
      <c r="I21" s="40" t="n">
        <v>4762800</v>
      </c>
      <c r="J21" s="40" t="n">
        <v>5443200</v>
      </c>
      <c r="K21" s="40" t="n">
        <v>6123600</v>
      </c>
      <c r="L21" s="40" t="n">
        <v>6804000</v>
      </c>
      <c r="M21" s="40" t="n">
        <v>6804000</v>
      </c>
      <c r="N21" s="40" t="n">
        <v>42184800</v>
      </c>
    </row>
    <row r="22">
      <c r="A22" s="5" t="inlineStr"/>
    </row>
    <row r="23">
      <c r="A23" s="4" t="inlineStr">
        <is>
          <t>【月額掲載料】</t>
        </is>
      </c>
    </row>
    <row r="24">
      <c r="A24" s="4" t="inlineStr">
        <is>
          <t xml:space="preserve">  月額掲載料</t>
        </is>
      </c>
      <c r="B24" s="40" t="n">
        <v>0</v>
      </c>
      <c r="C24" s="40" t="n">
        <v>0</v>
      </c>
      <c r="D24" s="40" t="n">
        <v>0</v>
      </c>
      <c r="E24" s="40" t="n">
        <v>0</v>
      </c>
      <c r="F24" s="40" t="n">
        <v>440000</v>
      </c>
      <c r="G24" s="40" t="n">
        <v>500000</v>
      </c>
      <c r="H24" s="40" t="n">
        <v>560000</v>
      </c>
      <c r="I24" s="40" t="n">
        <v>620000</v>
      </c>
      <c r="J24" s="40" t="n">
        <v>680000</v>
      </c>
      <c r="K24" s="40" t="n">
        <v>740000</v>
      </c>
      <c r="L24" s="40" t="n">
        <v>800000</v>
      </c>
      <c r="M24" s="40" t="n">
        <v>860000</v>
      </c>
      <c r="N24" s="40" t="n">
        <v>5200000</v>
      </c>
    </row>
    <row r="25">
      <c r="A25" s="5" t="inlineStr"/>
    </row>
    <row r="26">
      <c r="A26" s="43" t="inlineStr">
        <is>
          <t>月間売上合計</t>
        </is>
      </c>
      <c r="B26" s="44" t="n">
        <v>0</v>
      </c>
      <c r="C26" s="44" t="n">
        <v>0</v>
      </c>
      <c r="D26" s="44" t="n">
        <v>0</v>
      </c>
      <c r="E26" s="44" t="n">
        <v>0</v>
      </c>
      <c r="F26" s="44" t="n">
        <v>5222000</v>
      </c>
      <c r="G26" s="44" t="n">
        <v>6169400</v>
      </c>
      <c r="H26" s="44" t="n">
        <v>7116800</v>
      </c>
      <c r="I26" s="44" t="n">
        <v>7342400</v>
      </c>
      <c r="J26" s="44" t="n">
        <v>8289800</v>
      </c>
      <c r="K26" s="44" t="n">
        <v>9195800</v>
      </c>
      <c r="L26" s="44" t="n">
        <v>10143200</v>
      </c>
      <c r="M26" s="44" t="n">
        <v>10410200</v>
      </c>
      <c r="N26" s="44" t="n">
        <v>63889600</v>
      </c>
    </row>
    <row r="27">
      <c r="A27" s="43" t="inlineStr">
        <is>
          <t>累計売上</t>
        </is>
      </c>
      <c r="B27" s="44" t="n">
        <v>0</v>
      </c>
      <c r="C27" s="44" t="n">
        <v>0</v>
      </c>
      <c r="D27" s="44" t="n">
        <v>0</v>
      </c>
      <c r="E27" s="44" t="n">
        <v>0</v>
      </c>
      <c r="F27" s="44" t="n">
        <v>5222000</v>
      </c>
      <c r="G27" s="44" t="n">
        <v>11391400</v>
      </c>
      <c r="H27" s="44" t="n">
        <v>18508200</v>
      </c>
      <c r="I27" s="44" t="n">
        <v>25850600</v>
      </c>
      <c r="J27" s="44" t="n">
        <v>34140400</v>
      </c>
      <c r="K27" s="44" t="n">
        <v>43336200</v>
      </c>
      <c r="L27" s="44" t="n">
        <v>53479400</v>
      </c>
      <c r="M27" s="44" t="n">
        <v>63889600</v>
      </c>
      <c r="N27" s="44" t="n">
        <v>255817800</v>
      </c>
    </row>
    <row r="28">
      <c r="A28" s="5" t="inlineStr"/>
    </row>
    <row r="29">
      <c r="A29" s="4" t="inlineStr">
        <is>
          <t>【年間件数サマリー】</t>
        </is>
      </c>
    </row>
    <row r="30">
      <c r="A30" s="4" t="inlineStr">
        <is>
          <t xml:space="preserve">  資料請求 合計件数</t>
        </is>
      </c>
      <c r="N30" s="40" t="n">
        <v>468</v>
      </c>
    </row>
    <row r="31">
      <c r="A31" s="4" t="inlineStr">
        <is>
          <t xml:space="preserve">  見学会来場 合計件数</t>
        </is>
      </c>
      <c r="N31" s="40" t="n">
        <v>312</v>
      </c>
    </row>
    <row r="32">
      <c r="A32" s="4" t="inlineStr">
        <is>
          <t xml:space="preserve">  成約 合計件数</t>
        </is>
      </c>
      <c r="N32" s="40" t="n">
        <v>62</v>
      </c>
    </row>
    <row r="35">
      <c r="A35" s="2" t="inlineStr">
        <is>
          <t>単価設定の詳細（プラン構成比による加重平均）</t>
        </is>
      </c>
    </row>
    <row r="36">
      <c r="A36" s="39" t="inlineStr">
        <is>
          <t>プラン</t>
        </is>
      </c>
      <c r="B36" s="39" t="inlineStr">
        <is>
          <t>構成比</t>
        </is>
      </c>
      <c r="C36" s="39" t="inlineStr">
        <is>
          <t>資料請求単価</t>
        </is>
      </c>
      <c r="D36" s="39" t="inlineStr">
        <is>
          <t>見学会単価</t>
        </is>
      </c>
      <c r="E36" s="39" t="inlineStr">
        <is>
          <t>成約報酬率</t>
        </is>
      </c>
    </row>
    <row r="37">
      <c r="A37" s="45" t="inlineStr">
        <is>
          <t>成果報酬</t>
        </is>
      </c>
      <c r="B37" s="46" t="n">
        <v>0.2</v>
      </c>
      <c r="C37" s="47" t="n">
        <v>8000</v>
      </c>
      <c r="D37" s="47" t="n">
        <v>80000</v>
      </c>
      <c r="E37" s="48" t="n">
        <v>0.04</v>
      </c>
    </row>
    <row r="38">
      <c r="A38" s="45" t="inlineStr">
        <is>
          <t>掲載ベーシック</t>
        </is>
      </c>
      <c r="B38" s="46" t="n">
        <v>0.3</v>
      </c>
      <c r="C38" s="47" t="n">
        <v>5000</v>
      </c>
      <c r="D38" s="47" t="n">
        <v>50000</v>
      </c>
      <c r="E38" s="48" t="n">
        <v>0.03</v>
      </c>
    </row>
    <row r="39">
      <c r="A39" s="45" t="inlineStr">
        <is>
          <t>掲載プロ</t>
        </is>
      </c>
      <c r="B39" s="46" t="n">
        <v>0.5</v>
      </c>
      <c r="C39" s="47" t="n">
        <v>3000</v>
      </c>
      <c r="D39" s="47" t="n">
        <v>30000</v>
      </c>
      <c r="E39" s="48" t="n">
        <v>0.02</v>
      </c>
    </row>
    <row r="40">
      <c r="A40" s="49" t="inlineStr">
        <is>
          <t>加重平均</t>
        </is>
      </c>
      <c r="B40" s="50" t="n">
        <v>1</v>
      </c>
      <c r="C40" s="51" t="n">
        <v>4600</v>
      </c>
      <c r="D40" s="51" t="n">
        <v>46000</v>
      </c>
      <c r="E40" s="52" t="n">
        <v>0.027</v>
      </c>
    </row>
  </sheetData>
  <mergeCells count="2">
    <mergeCell ref="A35:E3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2026-03-24T07:01:53Z</dcterms:created>
  <dcterms:modified xmlns:dcterms="http://purl.org/dc/terms/" xmlns:xsi="http://www.w3.org/2001/XMLSchema-instance" xsi:type="dcterms:W3CDTF">2026-03-24T07:14:31Z</dcterms:modified>
</cp:coreProperties>
</file>