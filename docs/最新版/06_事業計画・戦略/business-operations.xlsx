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" sheetId="1" state="visible" r:id="rId1"/>
    <sheet xmlns:r="http://schemas.openxmlformats.org/officeDocument/2006/relationships" name="① 事業目標・KGI" sheetId="2" state="visible" r:id="rId2"/>
    <sheet xmlns:r="http://schemas.openxmlformats.org/officeDocument/2006/relationships" name="② マイルストーン管理" sheetId="3" state="visible" r:id="rId3"/>
    <sheet xmlns:r="http://schemas.openxmlformats.org/officeDocument/2006/relationships" name="③ 月次KPI管理" sheetId="4" state="visible" r:id="rId4"/>
    <sheet xmlns:r="http://schemas.openxmlformats.org/officeDocument/2006/relationships" name="④ P&amp;L 3年計画" sheetId="5" state="visible" r:id="rId5"/>
    <sheet xmlns:r="http://schemas.openxmlformats.org/officeDocument/2006/relationships" name="⑤ 収益シミュレーター" sheetId="6" state="visible" r:id="rId6"/>
    <sheet xmlns:r="http://schemas.openxmlformats.org/officeDocument/2006/relationships" name="⑥ 採用・販管費計画" sheetId="7" state="visible" r:id="rId7"/>
    <sheet xmlns:r="http://schemas.openxmlformats.org/officeDocument/2006/relationships" name="⑦ リスク管理表" sheetId="8" state="visible" r:id="rId8"/>
    <sheet xmlns:r="http://schemas.openxmlformats.org/officeDocument/2006/relationships" name="⑧ フェーズ移行判断基準" sheetId="9" state="visible" r:id="rId9"/>
    <sheet xmlns:r="http://schemas.openxmlformats.org/officeDocument/2006/relationships" name="⑨ 長期の1枚定義" sheetId="10" state="visible" r:id="rId10"/>
    <sheet xmlns:r="http://schemas.openxmlformats.org/officeDocument/2006/relationships" name="⑩ 料金改定シナリオ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"/>
    <numFmt numFmtId="165" formatCode="0.0%"/>
    <numFmt numFmtId="166" formatCode="+0.0%;-0.0%;─"/>
    <numFmt numFmtId="167" formatCode="#,##0;(#,##0)"/>
    <numFmt numFmtId="168" formatCode="0.0%;-0.0%"/>
    <numFmt numFmtId="169" formatCode="+#,##0;-#,##0;─"/>
    <numFmt numFmtId="170" formatCode="+#,##0"/>
  </numFmts>
  <fonts count="19">
    <font>
      <name val="Calibri"/>
      <family val="2"/>
      <color theme="1"/>
      <sz val="11"/>
      <scheme val="minor"/>
    </font>
    <font>
      <name val="Yu Gothic"/>
      <b val="1"/>
      <color rgb="002A1700"/>
      <sz val="16"/>
    </font>
    <font>
      <name val="Yu Gothic"/>
      <i val="1"/>
      <color rgb="006B5A47"/>
      <sz val="9"/>
    </font>
    <font>
      <name val="Yu Gothic"/>
      <b val="1"/>
      <color rgb="00E8740C"/>
      <sz val="12"/>
    </font>
    <font>
      <name val="Yu Gothic"/>
      <b val="1"/>
      <color rgb="00FFFFFF"/>
      <sz val="14"/>
    </font>
    <font>
      <name val="Yu Gothic"/>
      <b val="1"/>
      <color rgb="002A1700"/>
      <sz val="12"/>
    </font>
    <font>
      <name val="Yu Gothic"/>
      <b val="1"/>
      <color rgb="00FFFFFF"/>
      <sz val="11"/>
    </font>
    <font>
      <name val="Yu Gothic"/>
      <color rgb="003D2200"/>
      <sz val="10"/>
    </font>
    <font>
      <name val="Yu Gothic"/>
      <b val="1"/>
      <color rgb="002A1700"/>
      <sz val="10"/>
    </font>
    <font>
      <name val="Yu Gothic"/>
      <b val="1"/>
      <color rgb="00E8740C"/>
      <sz val="11"/>
    </font>
    <font>
      <name val="Yu Gothic"/>
      <b val="1"/>
      <color rgb="00FFFFFF"/>
      <sz val="12"/>
    </font>
    <font>
      <name val="Yu Gothic"/>
      <b val="1"/>
      <color rgb="00C62828"/>
      <sz val="10"/>
    </font>
    <font>
      <name val="Yu Gothic"/>
      <b val="1"/>
      <color rgb="00E8740C"/>
      <sz val="10"/>
    </font>
    <font>
      <name val="Yu Gothic"/>
      <b val="1"/>
      <color rgb="00E8740C"/>
      <sz val="13"/>
    </font>
    <font>
      <name val="Yu Gothic"/>
      <b val="1"/>
      <color rgb="00FFFFFF"/>
      <sz val="10"/>
    </font>
    <font>
      <name val="Yu Gothic"/>
      <color rgb="003D2200"/>
      <sz val="9"/>
    </font>
    <font>
      <name val="Yu Gothic"/>
      <b val="1"/>
      <color rgb="006B5A47"/>
      <sz val="11"/>
    </font>
    <font>
      <name val="Yu Gothic"/>
      <b val="1"/>
      <color rgb="002A1700"/>
      <sz val="14"/>
    </font>
    <font>
      <name val="Yu Gothic"/>
      <b val="1"/>
      <color rgb="00E8740C"/>
      <sz val="16"/>
    </font>
  </fonts>
  <fills count="9">
    <fill>
      <patternFill/>
    </fill>
    <fill>
      <patternFill patternType="gray125"/>
    </fill>
    <fill>
      <patternFill patternType="solid">
        <fgColor rgb="00E8740C"/>
      </patternFill>
    </fill>
    <fill>
      <patternFill patternType="solid">
        <fgColor rgb="00FFF8F0"/>
      </patternFill>
    </fill>
    <fill>
      <patternFill patternType="solid">
        <fgColor rgb="002A1700"/>
      </patternFill>
    </fill>
    <fill>
      <patternFill patternType="solid">
        <fgColor rgb="00FFE8D1"/>
      </patternFill>
    </fill>
    <fill>
      <patternFill patternType="solid">
        <fgColor rgb="00F5F0E8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1">
    <border>
      <left/>
      <right/>
      <top/>
      <bottom/>
      <diagonal/>
    </border>
    <border>
      <left style="thin">
        <color rgb="00D0C8B8"/>
      </left>
      <right style="thin">
        <color rgb="00D0C8B8"/>
      </right>
      <top style="thin">
        <color rgb="00D0C8B8"/>
      </top>
      <bottom style="thin">
        <color rgb="00D0C8B8"/>
      </bottom>
    </border>
    <border>
      <left/>
      <right/>
      <top style="thin">
        <color rgb="00D0C8B8"/>
      </top>
      <bottom/>
      <diagonal/>
    </border>
    <border>
      <left/>
      <right style="thin">
        <color rgb="00D0C8B8"/>
      </right>
      <top style="thin">
        <color rgb="00D0C8B8"/>
      </top>
      <bottom/>
      <diagonal/>
    </border>
    <border>
      <left/>
      <right/>
      <top style="thin">
        <color rgb="00D0C8B8"/>
      </top>
      <bottom style="thin">
        <color rgb="00D0C8B8"/>
      </bottom>
      <diagonal/>
    </border>
    <border>
      <left/>
      <right style="thin">
        <color rgb="00D0C8B8"/>
      </right>
      <top style="thin">
        <color rgb="00D0C8B8"/>
      </top>
      <bottom style="thin">
        <color rgb="00D0C8B8"/>
      </bottom>
      <diagonal/>
    </border>
    <border>
      <left style="thin">
        <color rgb="00D0C8B8"/>
      </left>
      <right/>
      <top/>
      <bottom/>
      <diagonal/>
    </border>
    <border>
      <left/>
      <right style="thin">
        <color rgb="00D0C8B8"/>
      </right>
      <top/>
      <bottom/>
      <diagonal/>
    </border>
    <border>
      <left style="thin">
        <color rgb="00D0C8B8"/>
      </left>
      <right/>
      <top/>
      <bottom style="thin">
        <color rgb="00D0C8B8"/>
      </bottom>
      <diagonal/>
    </border>
    <border>
      <left/>
      <right/>
      <top/>
      <bottom style="thin">
        <color rgb="00D0C8B8"/>
      </bottom>
      <diagonal/>
    </border>
    <border>
      <left/>
      <right style="thin">
        <color rgb="00D0C8B8"/>
      </right>
      <top/>
      <bottom style="thin">
        <color rgb="00D0C8B8"/>
      </bottom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3" fillId="5" borderId="0" pivotButton="0" quotePrefix="0" xfId="0"/>
    <xf numFmtId="3" fontId="9" fillId="5" borderId="1" applyAlignment="1" pivotButton="0" quotePrefix="0" xfId="0">
      <alignment horizontal="right" vertical="center" wrapText="1"/>
    </xf>
    <xf numFmtId="164" fontId="9" fillId="5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right" vertical="center" wrapText="1"/>
    </xf>
    <xf numFmtId="165" fontId="9" fillId="5" borderId="1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167" fontId="7" fillId="0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left" vertical="center" wrapText="1"/>
    </xf>
    <xf numFmtId="167" fontId="9" fillId="6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left" vertical="center" wrapText="1"/>
    </xf>
    <xf numFmtId="167" fontId="10" fillId="4" borderId="1" applyAlignment="1" pivotButton="0" quotePrefix="0" xfId="0">
      <alignment horizontal="right" vertical="center" wrapText="1"/>
    </xf>
    <xf numFmtId="168" fontId="9" fillId="0" borderId="1" applyAlignment="1" pivotButton="0" quotePrefix="0" xfId="0">
      <alignment horizontal="right" vertical="center" wrapText="1"/>
    </xf>
    <xf numFmtId="3" fontId="9" fillId="0" borderId="1" applyAlignment="1" pivotButton="0" quotePrefix="0" xfId="0">
      <alignment horizontal="right" vertical="center" wrapText="1"/>
    </xf>
    <xf numFmtId="165" fontId="6" fillId="2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top" wrapText="1"/>
    </xf>
    <xf numFmtId="0" fontId="15" fillId="6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5" fillId="0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3" fontId="15" fillId="0" borderId="1" applyAlignment="1" pivotButton="0" quotePrefix="0" xfId="0">
      <alignment horizontal="right" vertical="center"/>
    </xf>
    <xf numFmtId="169" fontId="15" fillId="0" borderId="1" applyAlignment="1" pivotButton="0" quotePrefix="0" xfId="0">
      <alignment horizontal="right" vertical="center"/>
    </xf>
    <xf numFmtId="169" fontId="9" fillId="0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right" vertical="center"/>
    </xf>
    <xf numFmtId="170" fontId="6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</cols>
  <sheetData>
    <row r="1">
      <c r="A1" s="1" t="inlineStr">
        <is>
          <t>ぺいほーむ 事業運営管理表</t>
        </is>
      </c>
    </row>
    <row r="2">
      <c r="A2" s="2" t="inlineStr">
        <is>
          <t>作成日: 2026/04/11 / Version 1.0 / CONFIDENTIAL</t>
        </is>
      </c>
    </row>
    <row r="4">
      <c r="A4" s="3" t="inlineStr">
        <is>
          <t>シート一覧</t>
        </is>
      </c>
    </row>
    <row r="5">
      <c r="A5" s="2" t="inlineStr">
        <is>
          <t>目的と目標から逆算して、事業運営を一元管理するための表です。</t>
        </is>
      </c>
    </row>
    <row r="7">
      <c r="A7" s="4" t="inlineStr">
        <is>
          <t>シート</t>
        </is>
      </c>
      <c r="B7" s="4" t="inlineStr">
        <is>
          <t>内容</t>
        </is>
      </c>
      <c r="C7" s="4" t="inlineStr">
        <is>
          <t>用途</t>
        </is>
      </c>
    </row>
    <row r="8">
      <c r="A8" s="5" t="inlineStr">
        <is>
          <t>① 事業目標・KGI</t>
        </is>
      </c>
      <c r="B8" s="6" t="inlineStr">
        <is>
          <t>ミッション・ビジョン + 3年 KGI + 目標達成の逆算ロジック</t>
        </is>
      </c>
      <c r="C8" s="6" t="inlineStr">
        <is>
          <t>経営レビュー</t>
        </is>
      </c>
    </row>
    <row r="9">
      <c r="A9" s="5" t="inlineStr">
        <is>
          <t>② マイルストーン管理</t>
        </is>
      </c>
      <c r="B9" s="6" t="inlineStr">
        <is>
          <t>M0〜M24 の7フェーズ / 責任者 / 進捗率 / ステータス</t>
        </is>
      </c>
      <c r="C9" s="6" t="inlineStr">
        <is>
          <t>四半期レビュー</t>
        </is>
      </c>
    </row>
    <row r="10">
      <c r="A10" s="5" t="inlineStr">
        <is>
          <t>③ 月次KPI管理</t>
        </is>
      </c>
      <c r="B10" s="6" t="inlineStr">
        <is>
          <t>12ヶ月分の予算 vs 実績 vs 達成率 を追跡</t>
        </is>
      </c>
      <c r="C10" s="6" t="inlineStr">
        <is>
          <t>月次モニタリング</t>
        </is>
      </c>
    </row>
    <row r="11">
      <c r="A11" s="5" t="inlineStr">
        <is>
          <t>④ P&amp;L 3年計画</t>
        </is>
      </c>
      <c r="B11" s="6" t="inlineStr">
        <is>
          <t>売上内訳・原価・販管費・営業利益を Year1-3 で計画</t>
        </is>
      </c>
      <c r="C11" s="6" t="inlineStr">
        <is>
          <t>財務レビュー</t>
        </is>
      </c>
    </row>
    <row r="12">
      <c r="A12" s="5" t="inlineStr">
        <is>
          <t>⑤ 収益シミュレーター</t>
        </is>
      </c>
      <c r="B12" s="6" t="inlineStr">
        <is>
          <t>提携社・予約数・契約額の変数から、月商・年商を自動計算</t>
        </is>
      </c>
      <c r="C12" s="6" t="inlineStr">
        <is>
          <t>戦略検討</t>
        </is>
      </c>
    </row>
    <row r="13">
      <c r="A13" s="5" t="inlineStr">
        <is>
          <t>⑥ 採用・販管費計画</t>
        </is>
      </c>
      <c r="B13" s="6" t="inlineStr">
        <is>
          <t>3年間の採用計画と年次人件費を可視化</t>
        </is>
      </c>
      <c r="C13" s="6" t="inlineStr">
        <is>
          <t>採用計画</t>
        </is>
      </c>
    </row>
    <row r="14">
      <c r="A14" s="5" t="inlineStr">
        <is>
          <t>⑦ リスク管理表</t>
        </is>
      </c>
      <c r="B14" s="6" t="inlineStr">
        <is>
          <t>10の主要リスクと対策・進捗を追跡</t>
        </is>
      </c>
      <c r="C14" s="6" t="inlineStr">
        <is>
          <t>経営会議</t>
        </is>
      </c>
    </row>
    <row r="17">
      <c r="A17" s="3" t="inlineStr">
        <is>
          <t>使い方のポイント</t>
        </is>
      </c>
    </row>
    <row r="18">
      <c r="A18" s="7" t="inlineStr">
        <is>
          <t>1. まず【① 事業目標・KGI】で目指す姿を確認する</t>
        </is>
      </c>
    </row>
    <row r="19">
      <c r="A19" s="7" t="inlineStr">
        <is>
          <t>2. 【② マイルストーン管理】で現在のフェーズを特定し、次に何をすべきかを確認する</t>
        </is>
      </c>
    </row>
    <row r="20">
      <c r="A20" s="7" t="inlineStr">
        <is>
          <t>3. 月次で【③ 月次KPI管理】を更新 ─ 実績を書き込むと達成率が自動計算される</t>
        </is>
      </c>
    </row>
    <row r="21">
      <c r="A21" s="7" t="inlineStr">
        <is>
          <t>4. 経営会議前に【④ P&amp;L 3年計画】と【⑤ 収益シミュレーター】を見る</t>
        </is>
      </c>
    </row>
    <row r="22">
      <c r="A22" s="7" t="inlineStr">
        <is>
          <t>5. 四半期で【⑥ 採用・販管費計画】と【⑦ リスク管理表】を更新する</t>
        </is>
      </c>
    </row>
  </sheetData>
  <mergeCells count="6">
    <mergeCell ref="A19:C19"/>
    <mergeCell ref="A5:C5"/>
    <mergeCell ref="A22:C22"/>
    <mergeCell ref="A18:C18"/>
    <mergeCell ref="A21:C21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>
      <c r="A1" s="1" t="inlineStr">
        <is>
          <t>ぺいほーむ 事業運営管理表</t>
        </is>
      </c>
    </row>
    <row r="2">
      <c r="A2" s="2" t="inlineStr">
        <is>
          <t>作成日: 2026/04/11 / Version 1.0</t>
        </is>
      </c>
    </row>
    <row r="4">
      <c r="A4" s="3" t="inlineStr">
        <is>
          <t>理念・ミッション</t>
        </is>
      </c>
    </row>
    <row r="5" ht="35" customHeight="1">
      <c r="A5" s="8" t="inlineStr">
        <is>
          <t>家づくりのミスマッチを、ゼロにする。</t>
        </is>
      </c>
    </row>
    <row r="7">
      <c r="A7" s="3" t="inlineStr">
        <is>
          <t>ビジョン</t>
        </is>
      </c>
    </row>
    <row r="8" ht="30" customHeight="1">
      <c r="A8" s="9" t="inlineStr">
        <is>
          <t>九州 No.1 の誠実な住宅メディアとして、業界の構造を変える。</t>
        </is>
      </c>
    </row>
    <row r="10">
      <c r="A10" s="3" t="inlineStr">
        <is>
          <t>KGI ─ 3年後の到達目標</t>
        </is>
      </c>
    </row>
    <row r="11">
      <c r="A11" s="4" t="inlineStr">
        <is>
          <t>指標</t>
        </is>
      </c>
      <c r="B11" s="4" t="inlineStr">
        <is>
          <t>Year 1</t>
        </is>
      </c>
      <c r="C11" s="4" t="inlineStr">
        <is>
          <t>Year 2</t>
        </is>
      </c>
      <c r="D11" s="4" t="inlineStr">
        <is>
          <t>Year 3</t>
        </is>
      </c>
      <c r="E11" s="4" t="inlineStr">
        <is>
          <t>単位</t>
        </is>
      </c>
      <c r="F11" s="4" t="inlineStr">
        <is>
          <t>測定頻度</t>
        </is>
      </c>
      <c r="G11" s="4" t="inlineStr">
        <is>
          <t>責任者</t>
        </is>
      </c>
    </row>
    <row r="12">
      <c r="A12" s="5" t="inlineStr">
        <is>
          <t>年商</t>
        </is>
      </c>
      <c r="B12" s="10" t="n">
        <v>18000000</v>
      </c>
      <c r="C12" s="10" t="n">
        <v>54000000</v>
      </c>
      <c r="D12" s="10" t="n">
        <v>108000000</v>
      </c>
      <c r="E12" s="11" t="inlineStr">
        <is>
          <t>円</t>
        </is>
      </c>
      <c r="F12" s="11" t="inlineStr">
        <is>
          <t>月次</t>
        </is>
      </c>
      <c r="G12" s="11" t="inlineStr">
        <is>
          <t>代表</t>
        </is>
      </c>
    </row>
    <row r="13">
      <c r="A13" s="5" t="inlineStr">
        <is>
          <t>営業利益</t>
        </is>
      </c>
      <c r="B13" s="10" t="n">
        <v>-3600000</v>
      </c>
      <c r="C13" s="10" t="n">
        <v>8000000</v>
      </c>
      <c r="D13" s="10" t="n">
        <v>30600000</v>
      </c>
      <c r="E13" s="11" t="inlineStr">
        <is>
          <t>円</t>
        </is>
      </c>
      <c r="F13" s="11" t="inlineStr">
        <is>
          <t>月次</t>
        </is>
      </c>
      <c r="G13" s="11" t="inlineStr">
        <is>
          <t>代表</t>
        </is>
      </c>
    </row>
    <row r="14">
      <c r="A14" s="5" t="inlineStr">
        <is>
          <t>営業利益率</t>
        </is>
      </c>
      <c r="B14" s="12" t="n">
        <v>-20</v>
      </c>
      <c r="C14" s="12" t="n">
        <v>15</v>
      </c>
      <c r="D14" s="12" t="n">
        <v>28</v>
      </c>
      <c r="E14" s="11" t="inlineStr">
        <is>
          <t>%</t>
        </is>
      </c>
      <c r="F14" s="11" t="inlineStr">
        <is>
          <t>月次</t>
        </is>
      </c>
      <c r="G14" s="11" t="inlineStr">
        <is>
          <t>代表</t>
        </is>
      </c>
    </row>
    <row r="15">
      <c r="A15" s="5" t="inlineStr">
        <is>
          <t>提携工務店数</t>
        </is>
      </c>
      <c r="B15" s="10" t="n">
        <v>12</v>
      </c>
      <c r="C15" s="10" t="n">
        <v>22</v>
      </c>
      <c r="D15" s="10" t="n">
        <v>45</v>
      </c>
      <c r="E15" s="11" t="inlineStr">
        <is>
          <t>社</t>
        </is>
      </c>
      <c r="F15" s="11" t="inlineStr">
        <is>
          <t>月次</t>
        </is>
      </c>
      <c r="G15" s="11" t="inlineStr">
        <is>
          <t>営業責任者</t>
        </is>
      </c>
    </row>
    <row r="16">
      <c r="A16" s="5" t="inlineStr">
        <is>
          <t>月間見学会予約数</t>
        </is>
      </c>
      <c r="B16" s="10" t="n">
        <v>10</v>
      </c>
      <c r="C16" s="10" t="n">
        <v>40</v>
      </c>
      <c r="D16" s="10" t="n">
        <v>90</v>
      </c>
      <c r="E16" s="11" t="inlineStr">
        <is>
          <t>件</t>
        </is>
      </c>
      <c r="F16" s="11" t="inlineStr">
        <is>
          <t>月次</t>
        </is>
      </c>
      <c r="G16" s="11" t="inlineStr">
        <is>
          <t>営業責任者</t>
        </is>
      </c>
    </row>
    <row r="17">
      <c r="A17" s="5" t="inlineStr">
        <is>
          <t>NPS (顧客満足度)</t>
        </is>
      </c>
      <c r="B17" s="10" t="n">
        <v>50</v>
      </c>
      <c r="C17" s="10" t="n">
        <v>65</v>
      </c>
      <c r="D17" s="10" t="n">
        <v>75</v>
      </c>
      <c r="E17" s="11" t="inlineStr">
        <is>
          <t>点</t>
        </is>
      </c>
      <c r="F17" s="11" t="inlineStr">
        <is>
          <t>四半期</t>
        </is>
      </c>
      <c r="G17" s="11" t="inlineStr">
        <is>
          <t>CS</t>
        </is>
      </c>
    </row>
    <row r="18">
      <c r="A18" s="5" t="inlineStr">
        <is>
          <t>B2C有料会員</t>
        </is>
      </c>
      <c r="B18" s="10" t="n">
        <v>0</v>
      </c>
      <c r="C18" s="10" t="n">
        <v>100</v>
      </c>
      <c r="D18" s="10" t="n">
        <v>500</v>
      </c>
      <c r="E18" s="11" t="inlineStr">
        <is>
          <t>名</t>
        </is>
      </c>
      <c r="F18" s="11" t="inlineStr">
        <is>
          <t>月次</t>
        </is>
      </c>
      <c r="G18" s="11" t="inlineStr">
        <is>
          <t>CS</t>
        </is>
      </c>
    </row>
    <row r="19">
      <c r="A19" s="5" t="inlineStr">
        <is>
          <t>YouTube登録者数</t>
        </is>
      </c>
      <c r="B19" s="10" t="n">
        <v>50000</v>
      </c>
      <c r="C19" s="10" t="n">
        <v>60000</v>
      </c>
      <c r="D19" s="10" t="n">
        <v>80000</v>
      </c>
      <c r="E19" s="11" t="inlineStr">
        <is>
          <t>人</t>
        </is>
      </c>
      <c r="F19" s="11" t="inlineStr">
        <is>
          <t>月次</t>
        </is>
      </c>
      <c r="G19" s="11" t="inlineStr">
        <is>
          <t>制作</t>
        </is>
      </c>
    </row>
    <row r="22">
      <c r="A22" s="3" t="inlineStr">
        <is>
          <t>目標達成のための逆算ロジック（Year 3 年商 1.08億円）</t>
        </is>
      </c>
    </row>
    <row r="23">
      <c r="A23" s="4" t="inlineStr">
        <is>
          <t>ステップ</t>
        </is>
      </c>
      <c r="B23" s="4" t="inlineStr">
        <is>
          <t>計算式</t>
        </is>
      </c>
      <c r="C23" s="4" t="inlineStr">
        <is>
          <t>数値</t>
        </is>
      </c>
      <c r="D23" s="13" t="n"/>
      <c r="E23" s="14" t="n"/>
    </row>
    <row r="24">
      <c r="A24" s="15" t="inlineStr">
        <is>
          <t>① 月商目標</t>
        </is>
      </c>
      <c r="B24" s="6" t="inlineStr">
        <is>
          <t>年商 ÷ 12 ヶ月</t>
        </is>
      </c>
      <c r="C24" s="16" t="inlineStr">
        <is>
          <t>¥9,000,000/月</t>
        </is>
      </c>
      <c r="D24" s="13" t="n"/>
      <c r="E24" s="14" t="n"/>
      <c r="F24" s="17" t="inlineStr">
        <is>
          <t>Year 3 平均</t>
        </is>
      </c>
      <c r="G24" s="14" t="n"/>
    </row>
    <row r="25">
      <c r="A25" s="15" t="inlineStr">
        <is>
          <t>② 必要な見学会予約数</t>
        </is>
      </c>
      <c r="B25" s="6" t="inlineStr">
        <is>
          <t>月商 × 0.4 ÷ 予約単価</t>
        </is>
      </c>
      <c r="C25" s="16" t="inlineStr">
        <is>
          <t>72 件/月</t>
        </is>
      </c>
      <c r="D25" s="13" t="n"/>
      <c r="E25" s="14" t="n"/>
      <c r="F25" s="17" t="inlineStr">
        <is>
          <t>予約比率40%前提 (構成比)</t>
        </is>
      </c>
      <c r="G25" s="14" t="n"/>
    </row>
    <row r="26">
      <c r="A26" s="15" t="inlineStr">
        <is>
          <t>③ 必要な成約数</t>
        </is>
      </c>
      <c r="B26" s="6" t="inlineStr">
        <is>
          <t>予約数 × 10% (業界平均成約率)</t>
        </is>
      </c>
      <c r="C26" s="16" t="inlineStr">
        <is>
          <t>7 件/月</t>
        </is>
      </c>
      <c r="D26" s="13" t="n"/>
      <c r="E26" s="14" t="n"/>
      <c r="F26" s="17" t="inlineStr">
        <is>
          <t>Smart Match で向上見込</t>
        </is>
      </c>
      <c r="G26" s="14" t="n"/>
    </row>
    <row r="27">
      <c r="A27" s="15" t="inlineStr">
        <is>
          <t>④ 必要な提携工務店数</t>
        </is>
      </c>
      <c r="B27" s="6" t="inlineStr">
        <is>
          <t>月間予約数 ÷ 社あたり 1.8 件</t>
        </is>
      </c>
      <c r="C27" s="16" t="inlineStr">
        <is>
          <t>40 社</t>
        </is>
      </c>
      <c r="D27" s="13" t="n"/>
      <c r="E27" s="14" t="n"/>
      <c r="F27" s="17" t="inlineStr">
        <is>
          <t>社平均 月1.8予約想定</t>
        </is>
      </c>
      <c r="G27" s="14" t="n"/>
    </row>
    <row r="28">
      <c r="A28" s="15" t="inlineStr">
        <is>
          <t>⑤ 必要なサイト来訪数</t>
        </is>
      </c>
      <c r="B28" s="6" t="inlineStr">
        <is>
          <t>予約数 × 100 (CVR 1%)</t>
        </is>
      </c>
      <c r="C28" s="16" t="inlineStr">
        <is>
          <t>7,200/月</t>
        </is>
      </c>
      <c r="D28" s="13" t="n"/>
      <c r="E28" s="14" t="n"/>
      <c r="F28" s="17" t="inlineStr">
        <is>
          <t>AI診断CVR向上で改善</t>
        </is>
      </c>
      <c r="G28" s="14" t="n"/>
    </row>
    <row r="29">
      <c r="A29" s="15" t="inlineStr">
        <is>
          <t>⑥ 必要な YouTube 流入</t>
        </is>
      </c>
      <c r="B29" s="6" t="inlineStr">
        <is>
          <t>来訪 × 60% (YouTube経由)</t>
        </is>
      </c>
      <c r="C29" s="16" t="inlineStr">
        <is>
          <t>4,320/月</t>
        </is>
      </c>
      <c r="D29" s="13" t="n"/>
      <c r="E29" s="14" t="n"/>
      <c r="F29" s="17" t="inlineStr">
        <is>
          <t>残りは検索・SNS</t>
        </is>
      </c>
      <c r="G29" s="14" t="n"/>
    </row>
  </sheetData>
  <mergeCells count="15">
    <mergeCell ref="C28:E28"/>
    <mergeCell ref="F24:G24"/>
    <mergeCell ref="C27:E27"/>
    <mergeCell ref="F29:G29"/>
    <mergeCell ref="A8:G8"/>
    <mergeCell ref="C23:E23"/>
    <mergeCell ref="F25:G25"/>
    <mergeCell ref="C26:E26"/>
    <mergeCell ref="F28:G28"/>
    <mergeCell ref="C29:E29"/>
    <mergeCell ref="F26:G26"/>
    <mergeCell ref="F27:G27"/>
    <mergeCell ref="C25:E25"/>
    <mergeCell ref="A5:G5"/>
    <mergeCell ref="C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8" customWidth="1" min="3" max="3"/>
    <col width="30" customWidth="1" min="4" max="4"/>
    <col width="11" customWidth="1" min="5" max="5"/>
    <col width="10" customWidth="1" min="6" max="6"/>
    <col width="18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マイルストーン M0 → M24</t>
        </is>
      </c>
    </row>
    <row r="2">
      <c r="A2" s="2" t="inlineStr">
        <is>
          <t>24ヶ月の段階的展開計画と進捗管理</t>
        </is>
      </c>
    </row>
    <row r="4" ht="28" customHeight="1">
      <c r="A4" s="4" t="inlineStr">
        <is>
          <t>フェーズ</t>
        </is>
      </c>
      <c r="B4" s="4" t="inlineStr">
        <is>
          <t>時期</t>
        </is>
      </c>
      <c r="C4" s="4" t="inlineStr">
        <is>
          <t>テーマ</t>
        </is>
      </c>
      <c r="D4" s="4" t="inlineStr">
        <is>
          <t>主要アクション</t>
        </is>
      </c>
      <c r="E4" s="4" t="inlineStr">
        <is>
          <t>月商目標</t>
        </is>
      </c>
      <c r="F4" s="4" t="inlineStr">
        <is>
          <t>提携社数</t>
        </is>
      </c>
      <c r="G4" s="4" t="inlineStr">
        <is>
          <t>主要KPI</t>
        </is>
      </c>
      <c r="H4" s="4" t="inlineStr">
        <is>
          <t>責任者</t>
        </is>
      </c>
      <c r="I4" s="4" t="inlineStr">
        <is>
          <t>進捗率</t>
        </is>
      </c>
      <c r="J4" s="4" t="inlineStr">
        <is>
          <t>ステータス</t>
        </is>
      </c>
    </row>
    <row r="5" ht="28" customHeight="1">
      <c r="A5" s="18" t="inlineStr">
        <is>
          <t>M0</t>
        </is>
      </c>
      <c r="B5" s="11" t="inlineStr">
        <is>
          <t>2026/05</t>
        </is>
      </c>
      <c r="C5" s="6" t="inlineStr">
        <is>
          <t>正式リリース</t>
        </is>
      </c>
      <c r="D5" s="6" t="inlineStr">
        <is>
          <t>先行10社運用開始 / KPI計測基盤整備</t>
        </is>
      </c>
      <c r="E5" s="16" t="inlineStr">
        <is>
          <t>¥500K</t>
        </is>
      </c>
      <c r="F5" s="11" t="n">
        <v>12</v>
      </c>
      <c r="G5" s="6" t="inlineStr">
        <is>
          <t>NPS初回計測</t>
        </is>
      </c>
      <c r="H5" s="6" t="inlineStr">
        <is>
          <t>代表</t>
        </is>
      </c>
      <c r="I5" s="19" t="n">
        <v>0</v>
      </c>
      <c r="J5" s="11" t="inlineStr">
        <is>
          <t>未着手</t>
        </is>
      </c>
    </row>
    <row r="6" ht="28" customHeight="1">
      <c r="A6" s="18" t="inlineStr">
        <is>
          <t>M3</t>
        </is>
      </c>
      <c r="B6" s="11" t="inlineStr">
        <is>
          <t>2026/08</t>
        </is>
      </c>
      <c r="C6" s="6" t="inlineStr">
        <is>
          <t>初回データレビュー</t>
        </is>
      </c>
      <c r="D6" s="6" t="inlineStr">
        <is>
          <t>成功事例5件蓄積 / 契約書面化</t>
        </is>
      </c>
      <c r="E6" s="16" t="inlineStr">
        <is>
          <t>¥750K</t>
        </is>
      </c>
      <c r="F6" s="11" t="n">
        <v>12</v>
      </c>
      <c r="G6" s="6" t="inlineStr">
        <is>
          <t>成約事例 最低1件</t>
        </is>
      </c>
      <c r="H6" s="6" t="inlineStr">
        <is>
          <t>営業</t>
        </is>
      </c>
      <c r="I6" s="19" t="n">
        <v>0</v>
      </c>
      <c r="J6" s="11" t="inlineStr">
        <is>
          <t>未着手</t>
        </is>
      </c>
    </row>
    <row r="7" ht="28" customHeight="1">
      <c r="A7" s="18" t="inlineStr">
        <is>
          <t>M6</t>
        </is>
      </c>
      <c r="B7" s="11" t="inlineStr">
        <is>
          <t>2026/11</t>
        </is>
      </c>
      <c r="C7" s="6" t="inlineStr">
        <is>
          <t>ハイブリッド ソフトローンチ</t>
        </is>
      </c>
      <c r="D7" s="6" t="inlineStr">
        <is>
          <t>成約報酬3%モデル オプション提供</t>
        </is>
      </c>
      <c r="E7" s="16" t="inlineStr">
        <is>
          <t>¥1.2M</t>
        </is>
      </c>
      <c r="F7" s="11" t="n">
        <v>13</v>
      </c>
      <c r="G7" s="6" t="inlineStr">
        <is>
          <t>追加契約 2社以上</t>
        </is>
      </c>
      <c r="H7" s="6" t="inlineStr">
        <is>
          <t>営業</t>
        </is>
      </c>
      <c r="I7" s="19" t="n">
        <v>0</v>
      </c>
      <c r="J7" s="11" t="inlineStr">
        <is>
          <t>未着手</t>
        </is>
      </c>
    </row>
    <row r="8" ht="28" customHeight="1">
      <c r="A8" s="18" t="inlineStr">
        <is>
          <t>M9</t>
        </is>
      </c>
      <c r="B8" s="11" t="inlineStr">
        <is>
          <t>2027/02</t>
        </is>
      </c>
      <c r="C8" s="6" t="inlineStr">
        <is>
          <t>新規向け本格展開</t>
        </is>
      </c>
      <c r="D8" s="6" t="inlineStr">
        <is>
          <t>ハイブリッドをデフォルト化</t>
        </is>
      </c>
      <c r="E8" s="16" t="inlineStr">
        <is>
          <t>¥2.5M</t>
        </is>
      </c>
      <c r="F8" s="11" t="n">
        <v>18</v>
      </c>
      <c r="G8" s="6" t="inlineStr">
        <is>
          <t>新規月3社獲得</t>
        </is>
      </c>
      <c r="H8" s="6" t="inlineStr">
        <is>
          <t>営業</t>
        </is>
      </c>
      <c r="I8" s="19" t="n">
        <v>0</v>
      </c>
      <c r="J8" s="11" t="inlineStr">
        <is>
          <t>未着手</t>
        </is>
      </c>
    </row>
    <row r="9" ht="28" customHeight="1">
      <c r="A9" s="18" t="inlineStr">
        <is>
          <t>M12</t>
        </is>
      </c>
      <c r="B9" s="11" t="inlineStr">
        <is>
          <t>2027/05</t>
        </is>
      </c>
      <c r="C9" s="6" t="inlineStr">
        <is>
          <t>月額サブスク導入</t>
        </is>
      </c>
      <c r="D9" s="6" t="inlineStr">
        <is>
          <t>Good-Better-Best プラン本稼働</t>
        </is>
      </c>
      <c r="E9" s="16" t="inlineStr">
        <is>
          <t>¥3.5M</t>
        </is>
      </c>
      <c r="F9" s="11" t="n">
        <v>22</v>
      </c>
      <c r="G9" s="6" t="inlineStr">
        <is>
          <t>プレミアム契約3社</t>
        </is>
      </c>
      <c r="H9" s="6" t="inlineStr">
        <is>
          <t>営業/CS</t>
        </is>
      </c>
      <c r="I9" s="19" t="n">
        <v>0</v>
      </c>
      <c r="J9" s="11" t="inlineStr">
        <is>
          <t>未着手</t>
        </is>
      </c>
    </row>
    <row r="10" ht="28" customHeight="1">
      <c r="A10" s="18" t="inlineStr">
        <is>
          <t>M15</t>
        </is>
      </c>
      <c r="B10" s="11" t="inlineStr">
        <is>
          <t>2027/08</t>
        </is>
      </c>
      <c r="C10" s="6" t="inlineStr">
        <is>
          <t>CS 体制確立</t>
        </is>
      </c>
      <c r="D10" s="6" t="inlineStr">
        <is>
          <t>専任担当配置 / リテンション強化</t>
        </is>
      </c>
      <c r="E10" s="16" t="inlineStr">
        <is>
          <t>¥4.0M</t>
        </is>
      </c>
      <c r="F10" s="11" t="n">
        <v>25</v>
      </c>
      <c r="G10" s="6" t="inlineStr">
        <is>
          <t>Churn率 5%以下</t>
        </is>
      </c>
      <c r="H10" s="6" t="inlineStr">
        <is>
          <t>CS</t>
        </is>
      </c>
      <c r="I10" s="19" t="n">
        <v>0</v>
      </c>
      <c r="J10" s="11" t="inlineStr">
        <is>
          <t>未着手</t>
        </is>
      </c>
    </row>
    <row r="11" ht="28" customHeight="1">
      <c r="A11" s="18" t="inlineStr">
        <is>
          <t>M18</t>
        </is>
      </c>
      <c r="B11" s="11" t="inlineStr">
        <is>
          <t>2027/11</t>
        </is>
      </c>
      <c r="C11" s="6" t="inlineStr">
        <is>
          <t>隣接収益本格化</t>
        </is>
      </c>
      <c r="D11" s="6" t="inlineStr">
        <is>
          <t>B2C会員 / 住宅ローン連携</t>
        </is>
      </c>
      <c r="E11" s="16" t="inlineStr">
        <is>
          <t>¥5.5M</t>
        </is>
      </c>
      <c r="F11" s="11" t="n">
        <v>28</v>
      </c>
      <c r="G11" s="6" t="inlineStr">
        <is>
          <t>B2C会員200名</t>
        </is>
      </c>
      <c r="H11" s="6" t="inlineStr">
        <is>
          <t>代表/営業</t>
        </is>
      </c>
      <c r="I11" s="19" t="n">
        <v>0</v>
      </c>
      <c r="J11" s="11" t="inlineStr">
        <is>
          <t>未着手</t>
        </is>
      </c>
    </row>
    <row r="12" ht="28" customHeight="1">
      <c r="A12" s="18" t="inlineStr">
        <is>
          <t>M21</t>
        </is>
      </c>
      <c r="B12" s="11" t="inlineStr">
        <is>
          <t>2028/02</t>
        </is>
      </c>
      <c r="C12" s="6" t="inlineStr">
        <is>
          <t>関東進出準備</t>
        </is>
      </c>
      <c r="D12" s="6" t="inlineStr">
        <is>
          <t>SOP整備 / 現地パートナー開拓</t>
        </is>
      </c>
      <c r="E12" s="16" t="inlineStr">
        <is>
          <t>¥7.5M</t>
        </is>
      </c>
      <c r="F12" s="11" t="n">
        <v>35</v>
      </c>
      <c r="G12" s="6" t="inlineStr">
        <is>
          <t>関東パートナー1社</t>
        </is>
      </c>
      <c r="H12" s="6" t="inlineStr">
        <is>
          <t>代表</t>
        </is>
      </c>
      <c r="I12" s="19" t="n">
        <v>0</v>
      </c>
      <c r="J12" s="11" t="inlineStr">
        <is>
          <t>未着手</t>
        </is>
      </c>
    </row>
    <row r="13" ht="28" customHeight="1">
      <c r="A13" s="18" t="inlineStr">
        <is>
          <t>M24</t>
        </is>
      </c>
      <c r="B13" s="11" t="inlineStr">
        <is>
          <t>2028/05</t>
        </is>
      </c>
      <c r="C13" s="6" t="inlineStr">
        <is>
          <t>全国展開スタート</t>
        </is>
      </c>
      <c r="D13" s="6" t="inlineStr">
        <is>
          <t>関東 or 東海エリア進出</t>
        </is>
      </c>
      <c r="E13" s="16" t="inlineStr">
        <is>
          <t>¥10M</t>
        </is>
      </c>
      <c r="F13" s="11" t="n">
        <v>45</v>
      </c>
      <c r="G13" s="6" t="inlineStr">
        <is>
          <t>関東エリア 5社</t>
        </is>
      </c>
      <c r="H13" s="6" t="inlineStr">
        <is>
          <t>代表</t>
        </is>
      </c>
      <c r="I13" s="19" t="n">
        <v>0</v>
      </c>
      <c r="J13" s="11" t="inlineStr">
        <is>
          <t>未着手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</cols>
  <sheetData>
    <row r="1">
      <c r="A1" s="1" t="inlineStr">
        <is>
          <t>月次 KPI 管理表</t>
        </is>
      </c>
    </row>
    <row r="2">
      <c r="A2" s="2" t="inlineStr">
        <is>
          <t>予算 vs 実績 を月次でモニタリング</t>
        </is>
      </c>
    </row>
    <row r="4">
      <c r="A4" s="4" t="inlineStr">
        <is>
          <t>指標</t>
        </is>
      </c>
      <c r="B4" s="4" t="inlineStr">
        <is>
          <t>2026/05</t>
        </is>
      </c>
      <c r="C4" s="4" t="inlineStr">
        <is>
          <t>2026/06</t>
        </is>
      </c>
      <c r="D4" s="4" t="inlineStr">
        <is>
          <t>2026/07</t>
        </is>
      </c>
      <c r="E4" s="4" t="inlineStr">
        <is>
          <t>2026/08</t>
        </is>
      </c>
      <c r="F4" s="4" t="inlineStr">
        <is>
          <t>2026/09</t>
        </is>
      </c>
      <c r="G4" s="4" t="inlineStr">
        <is>
          <t>2026/10</t>
        </is>
      </c>
      <c r="H4" s="4" t="inlineStr">
        <is>
          <t>2026/11</t>
        </is>
      </c>
      <c r="I4" s="4" t="inlineStr">
        <is>
          <t>2026/12</t>
        </is>
      </c>
      <c r="J4" s="4" t="inlineStr">
        <is>
          <t>2027/01</t>
        </is>
      </c>
      <c r="K4" s="4" t="inlineStr">
        <is>
          <t>2027/02</t>
        </is>
      </c>
      <c r="L4" s="4" t="inlineStr">
        <is>
          <t>2027/03</t>
        </is>
      </c>
      <c r="M4" s="4" t="inlineStr">
        <is>
          <t>2027/04</t>
        </is>
      </c>
      <c r="N4" s="4" t="inlineStr">
        <is>
          <t>Year1 合計</t>
        </is>
      </c>
    </row>
    <row r="5">
      <c r="A5" s="20" t="inlineStr">
        <is>
          <t>【予算】</t>
        </is>
      </c>
    </row>
    <row r="6">
      <c r="A6" s="5" t="inlineStr">
        <is>
          <t>売上 (円)</t>
        </is>
      </c>
      <c r="B6" s="10" t="n">
        <v>500000</v>
      </c>
      <c r="C6" s="10" t="n">
        <v>600000</v>
      </c>
      <c r="D6" s="10" t="n">
        <v>700000</v>
      </c>
      <c r="E6" s="10" t="n">
        <v>750000</v>
      </c>
      <c r="F6" s="10" t="n">
        <v>900000</v>
      </c>
      <c r="G6" s="10" t="n">
        <v>1100000</v>
      </c>
      <c r="H6" s="10" t="n">
        <v>1200000</v>
      </c>
      <c r="I6" s="10" t="n">
        <v>1400000</v>
      </c>
      <c r="J6" s="10" t="n">
        <v>1800000</v>
      </c>
      <c r="K6" s="10" t="n">
        <v>2500000</v>
      </c>
      <c r="L6" s="10" t="n">
        <v>2500000</v>
      </c>
      <c r="M6" s="10" t="n">
        <v>3000000</v>
      </c>
      <c r="N6" s="21" t="n">
        <v>16950000</v>
      </c>
    </row>
    <row r="7">
      <c r="A7" s="5" t="inlineStr">
        <is>
          <t>見学会予約 (件)</t>
        </is>
      </c>
      <c r="B7" s="10" t="n">
        <v>10</v>
      </c>
      <c r="C7" s="10" t="n">
        <v>12</v>
      </c>
      <c r="D7" s="10" t="n">
        <v>14</v>
      </c>
      <c r="E7" s="10" t="n">
        <v>15</v>
      </c>
      <c r="F7" s="10" t="n">
        <v>18</v>
      </c>
      <c r="G7" s="10" t="n">
        <v>22</v>
      </c>
      <c r="H7" s="10" t="n">
        <v>24</v>
      </c>
      <c r="I7" s="10" t="n">
        <v>28</v>
      </c>
      <c r="J7" s="10" t="n">
        <v>36</v>
      </c>
      <c r="K7" s="10" t="n">
        <v>42</v>
      </c>
      <c r="L7" s="10" t="n">
        <v>42</v>
      </c>
      <c r="M7" s="10" t="n">
        <v>45</v>
      </c>
      <c r="N7" s="21" t="n">
        <v>308</v>
      </c>
    </row>
    <row r="8">
      <c r="A8" s="5" t="inlineStr">
        <is>
          <t>成約 (件)</t>
        </is>
      </c>
      <c r="B8" s="10" t="n">
        <v>0</v>
      </c>
      <c r="C8" s="10" t="n">
        <v>0</v>
      </c>
      <c r="D8" s="10" t="n">
        <v>1</v>
      </c>
      <c r="E8" s="10" t="n">
        <v>1</v>
      </c>
      <c r="F8" s="10" t="n">
        <v>1</v>
      </c>
      <c r="G8" s="10" t="n">
        <v>2</v>
      </c>
      <c r="H8" s="10" t="n">
        <v>2</v>
      </c>
      <c r="I8" s="10" t="n">
        <v>2</v>
      </c>
      <c r="J8" s="10" t="n">
        <v>3</v>
      </c>
      <c r="K8" s="10" t="n">
        <v>4</v>
      </c>
      <c r="L8" s="10" t="n">
        <v>4</v>
      </c>
      <c r="M8" s="10" t="n">
        <v>5</v>
      </c>
      <c r="N8" s="21" t="n">
        <v>25</v>
      </c>
    </row>
    <row r="9">
      <c r="A9" s="5" t="inlineStr">
        <is>
          <t>提携工務店数 (社)</t>
        </is>
      </c>
      <c r="B9" s="10" t="n">
        <v>12</v>
      </c>
      <c r="C9" s="10" t="n">
        <v>12</v>
      </c>
      <c r="D9" s="10" t="n">
        <v>12</v>
      </c>
      <c r="E9" s="10" t="n">
        <v>12</v>
      </c>
      <c r="F9" s="10" t="n">
        <v>12</v>
      </c>
      <c r="G9" s="10" t="n">
        <v>13</v>
      </c>
      <c r="H9" s="10" t="n">
        <v>13</v>
      </c>
      <c r="I9" s="10" t="n">
        <v>14</v>
      </c>
      <c r="J9" s="10" t="n">
        <v>15</v>
      </c>
      <c r="K9" s="10" t="n">
        <v>17</v>
      </c>
      <c r="L9" s="10" t="n">
        <v>19</v>
      </c>
      <c r="M9" s="10" t="n">
        <v>22</v>
      </c>
      <c r="N9" s="21" t="n">
        <v>173</v>
      </c>
    </row>
    <row r="10">
      <c r="A10" s="5" t="inlineStr">
        <is>
          <t>AI診断完了数</t>
        </is>
      </c>
      <c r="B10" s="10" t="n">
        <v>200</v>
      </c>
      <c r="C10" s="10" t="n">
        <v>250</v>
      </c>
      <c r="D10" s="10" t="n">
        <v>320</v>
      </c>
      <c r="E10" s="10" t="n">
        <v>380</v>
      </c>
      <c r="F10" s="10" t="n">
        <v>450</v>
      </c>
      <c r="G10" s="10" t="n">
        <v>520</v>
      </c>
      <c r="H10" s="10" t="n">
        <v>600</v>
      </c>
      <c r="I10" s="10" t="n">
        <v>700</v>
      </c>
      <c r="J10" s="10" t="n">
        <v>850</v>
      </c>
      <c r="K10" s="10" t="n">
        <v>1000</v>
      </c>
      <c r="L10" s="10" t="n">
        <v>1100</v>
      </c>
      <c r="M10" s="10" t="n">
        <v>1200</v>
      </c>
      <c r="N10" s="21" t="n">
        <v>7570</v>
      </c>
    </row>
    <row r="11">
      <c r="A11" s="5" t="inlineStr">
        <is>
          <t>NPSスコア</t>
        </is>
      </c>
      <c r="B11" s="10" t="n">
        <v>50</v>
      </c>
      <c r="C11" s="10" t="n">
        <v>52</v>
      </c>
      <c r="D11" s="10" t="n">
        <v>53</v>
      </c>
      <c r="E11" s="10" t="n">
        <v>55</v>
      </c>
      <c r="F11" s="10" t="n">
        <v>55</v>
      </c>
      <c r="G11" s="10" t="n">
        <v>57</v>
      </c>
      <c r="H11" s="10" t="n">
        <v>58</v>
      </c>
      <c r="I11" s="10" t="n">
        <v>60</v>
      </c>
      <c r="J11" s="10" t="n">
        <v>62</v>
      </c>
      <c r="K11" s="10" t="n">
        <v>63</v>
      </c>
      <c r="L11" s="10" t="n">
        <v>65</v>
      </c>
      <c r="M11" s="10" t="n">
        <v>65</v>
      </c>
      <c r="N11" s="22" t="n">
        <v>57.9</v>
      </c>
    </row>
    <row r="12">
      <c r="A12" s="5" t="inlineStr">
        <is>
          <t>YouTube登録者数</t>
        </is>
      </c>
      <c r="B12" s="10" t="n">
        <v>43000</v>
      </c>
      <c r="C12" s="10" t="n">
        <v>44000</v>
      </c>
      <c r="D12" s="10" t="n">
        <v>45000</v>
      </c>
      <c r="E12" s="10" t="n">
        <v>46000</v>
      </c>
      <c r="F12" s="10" t="n">
        <v>47000</v>
      </c>
      <c r="G12" s="10" t="n">
        <v>48000</v>
      </c>
      <c r="H12" s="10" t="n">
        <v>49000</v>
      </c>
      <c r="I12" s="10" t="n">
        <v>50000</v>
      </c>
      <c r="J12" s="10" t="n">
        <v>51000</v>
      </c>
      <c r="K12" s="10" t="n">
        <v>52000</v>
      </c>
      <c r="L12" s="10" t="n">
        <v>53000</v>
      </c>
      <c r="M12" s="10" t="n">
        <v>54000</v>
      </c>
      <c r="N12" s="21" t="n">
        <v>582000</v>
      </c>
    </row>
    <row r="14">
      <c r="A14" s="20" t="inlineStr">
        <is>
          <t>【実績】</t>
        </is>
      </c>
    </row>
    <row r="15">
      <c r="A15" s="5" t="inlineStr">
        <is>
          <t>売上 (円)</t>
        </is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1">
        <f>SUM(B15:M15)</f>
        <v/>
      </c>
    </row>
    <row r="16">
      <c r="A16" s="5" t="inlineStr">
        <is>
          <t>見学会予約 (件)</t>
        </is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4">
        <f>SUM(B16:M16)</f>
        <v/>
      </c>
    </row>
    <row r="17">
      <c r="A17" s="5" t="inlineStr">
        <is>
          <t>成約 (件)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4">
        <f>SUM(B17:M17)</f>
        <v/>
      </c>
    </row>
    <row r="18">
      <c r="A18" s="5" t="inlineStr">
        <is>
          <t>提携工務店数 (社)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4">
        <f>SUM(B18:M18)</f>
        <v/>
      </c>
    </row>
    <row r="19">
      <c r="A19" s="5" t="inlineStr">
        <is>
          <t>AI診断完了数</t>
        </is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4">
        <f>SUM(B19:M19)</f>
        <v/>
      </c>
    </row>
    <row r="20">
      <c r="A20" s="5" t="inlineStr">
        <is>
          <t>NPSスコア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4">
        <f>SUM(B20:M20)</f>
        <v/>
      </c>
    </row>
    <row r="21">
      <c r="A21" s="5" t="inlineStr">
        <is>
          <t>YouTube登録者数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4">
        <f>SUM(B21:M21)</f>
        <v/>
      </c>
    </row>
    <row r="23">
      <c r="A23" s="20" t="inlineStr">
        <is>
          <t>【達成率 (実績/予算)】</t>
        </is>
      </c>
    </row>
    <row r="24">
      <c r="A24" s="5" t="inlineStr">
        <is>
          <t>売上 (円)</t>
        </is>
      </c>
      <c r="B24" s="25">
        <f>IFERROR(B15/B6,"")</f>
        <v/>
      </c>
      <c r="C24" s="25">
        <f>IFERROR(C15/C6,"")</f>
        <v/>
      </c>
      <c r="D24" s="25">
        <f>IFERROR(D15/D6,"")</f>
        <v/>
      </c>
      <c r="E24" s="25">
        <f>IFERROR(E15/E6,"")</f>
        <v/>
      </c>
      <c r="F24" s="25">
        <f>IFERROR(F15/F6,"")</f>
        <v/>
      </c>
      <c r="G24" s="25">
        <f>IFERROR(G15/G6,"")</f>
        <v/>
      </c>
      <c r="H24" s="25">
        <f>IFERROR(H15/H6,"")</f>
        <v/>
      </c>
      <c r="I24" s="25">
        <f>IFERROR(I15/I6,"")</f>
        <v/>
      </c>
      <c r="J24" s="25">
        <f>IFERROR(J15/J6,"")</f>
        <v/>
      </c>
      <c r="K24" s="25">
        <f>IFERROR(K15/K6,"")</f>
        <v/>
      </c>
      <c r="L24" s="25">
        <f>IFERROR(L15/L6,"")</f>
        <v/>
      </c>
      <c r="M24" s="25">
        <f>IFERROR(M15/M6,"")</f>
        <v/>
      </c>
      <c r="N24" s="26">
        <f>IFERROR(N15/N6,"")</f>
        <v/>
      </c>
    </row>
    <row r="25">
      <c r="A25" s="5" t="inlineStr">
        <is>
          <t>見学会予約 (件)</t>
        </is>
      </c>
      <c r="B25" s="25">
        <f>IFERROR(B16/B7,"")</f>
        <v/>
      </c>
      <c r="C25" s="25">
        <f>IFERROR(C16/C7,"")</f>
        <v/>
      </c>
      <c r="D25" s="25">
        <f>IFERROR(D16/D7,"")</f>
        <v/>
      </c>
      <c r="E25" s="25">
        <f>IFERROR(E16/E7,"")</f>
        <v/>
      </c>
      <c r="F25" s="25">
        <f>IFERROR(F16/F7,"")</f>
        <v/>
      </c>
      <c r="G25" s="25">
        <f>IFERROR(G16/G7,"")</f>
        <v/>
      </c>
      <c r="H25" s="25">
        <f>IFERROR(H16/H7,"")</f>
        <v/>
      </c>
      <c r="I25" s="25">
        <f>IFERROR(I16/I7,"")</f>
        <v/>
      </c>
      <c r="J25" s="25">
        <f>IFERROR(J16/J7,"")</f>
        <v/>
      </c>
      <c r="K25" s="25">
        <f>IFERROR(K16/K7,"")</f>
        <v/>
      </c>
      <c r="L25" s="25">
        <f>IFERROR(L16/L7,"")</f>
        <v/>
      </c>
      <c r="M25" s="25">
        <f>IFERROR(M16/M7,"")</f>
        <v/>
      </c>
      <c r="N25" s="26">
        <f>IFERROR(N16/N7,"")</f>
        <v/>
      </c>
    </row>
    <row r="26">
      <c r="A26" s="5" t="inlineStr">
        <is>
          <t>成約 (件)</t>
        </is>
      </c>
      <c r="B26" s="25">
        <f>IFERROR(B17/B8,"")</f>
        <v/>
      </c>
      <c r="C26" s="25">
        <f>IFERROR(C17/C8,"")</f>
        <v/>
      </c>
      <c r="D26" s="25">
        <f>IFERROR(D17/D8,"")</f>
        <v/>
      </c>
      <c r="E26" s="25">
        <f>IFERROR(E17/E8,"")</f>
        <v/>
      </c>
      <c r="F26" s="25">
        <f>IFERROR(F17/F8,"")</f>
        <v/>
      </c>
      <c r="G26" s="25">
        <f>IFERROR(G17/G8,"")</f>
        <v/>
      </c>
      <c r="H26" s="25">
        <f>IFERROR(H17/H8,"")</f>
        <v/>
      </c>
      <c r="I26" s="25">
        <f>IFERROR(I17/I8,"")</f>
        <v/>
      </c>
      <c r="J26" s="25">
        <f>IFERROR(J17/J8,"")</f>
        <v/>
      </c>
      <c r="K26" s="25">
        <f>IFERROR(K17/K8,"")</f>
        <v/>
      </c>
      <c r="L26" s="25">
        <f>IFERROR(L17/L8,"")</f>
        <v/>
      </c>
      <c r="M26" s="25">
        <f>IFERROR(M17/M8,"")</f>
        <v/>
      </c>
      <c r="N26" s="26">
        <f>IFERROR(N17/N8,"")</f>
        <v/>
      </c>
    </row>
    <row r="27">
      <c r="A27" s="5" t="inlineStr">
        <is>
          <t>提携工務店数 (社)</t>
        </is>
      </c>
      <c r="B27" s="25">
        <f>IFERROR(B18/B9,"")</f>
        <v/>
      </c>
      <c r="C27" s="25">
        <f>IFERROR(C18/C9,"")</f>
        <v/>
      </c>
      <c r="D27" s="25">
        <f>IFERROR(D18/D9,"")</f>
        <v/>
      </c>
      <c r="E27" s="25">
        <f>IFERROR(E18/E9,"")</f>
        <v/>
      </c>
      <c r="F27" s="25">
        <f>IFERROR(F18/F9,"")</f>
        <v/>
      </c>
      <c r="G27" s="25">
        <f>IFERROR(G18/G9,"")</f>
        <v/>
      </c>
      <c r="H27" s="25">
        <f>IFERROR(H18/H9,"")</f>
        <v/>
      </c>
      <c r="I27" s="25">
        <f>IFERROR(I18/I9,"")</f>
        <v/>
      </c>
      <c r="J27" s="25">
        <f>IFERROR(J18/J9,"")</f>
        <v/>
      </c>
      <c r="K27" s="25">
        <f>IFERROR(K18/K9,"")</f>
        <v/>
      </c>
      <c r="L27" s="25">
        <f>IFERROR(L18/L9,"")</f>
        <v/>
      </c>
      <c r="M27" s="25">
        <f>IFERROR(M18/M9,"")</f>
        <v/>
      </c>
      <c r="N27" s="26">
        <f>IFERROR(N18/N9,"")</f>
        <v/>
      </c>
    </row>
    <row r="28">
      <c r="A28" s="5" t="inlineStr">
        <is>
          <t>AI診断完了数</t>
        </is>
      </c>
      <c r="B28" s="25">
        <f>IFERROR(B19/B10,"")</f>
        <v/>
      </c>
      <c r="C28" s="25">
        <f>IFERROR(C19/C10,"")</f>
        <v/>
      </c>
      <c r="D28" s="25">
        <f>IFERROR(D19/D10,"")</f>
        <v/>
      </c>
      <c r="E28" s="25">
        <f>IFERROR(E19/E10,"")</f>
        <v/>
      </c>
      <c r="F28" s="25">
        <f>IFERROR(F19/F10,"")</f>
        <v/>
      </c>
      <c r="G28" s="25">
        <f>IFERROR(G19/G10,"")</f>
        <v/>
      </c>
      <c r="H28" s="25">
        <f>IFERROR(H19/H10,"")</f>
        <v/>
      </c>
      <c r="I28" s="25">
        <f>IFERROR(I19/I10,"")</f>
        <v/>
      </c>
      <c r="J28" s="25">
        <f>IFERROR(J19/J10,"")</f>
        <v/>
      </c>
      <c r="K28" s="25">
        <f>IFERROR(K19/K10,"")</f>
        <v/>
      </c>
      <c r="L28" s="25">
        <f>IFERROR(L19/L10,"")</f>
        <v/>
      </c>
      <c r="M28" s="25">
        <f>IFERROR(M19/M10,"")</f>
        <v/>
      </c>
      <c r="N28" s="26">
        <f>IFERROR(N19/N10,"")</f>
        <v/>
      </c>
    </row>
    <row r="29">
      <c r="A29" s="5" t="inlineStr">
        <is>
          <t>NPSスコア</t>
        </is>
      </c>
      <c r="B29" s="25">
        <f>IFERROR(B20/B11,"")</f>
        <v/>
      </c>
      <c r="C29" s="25">
        <f>IFERROR(C20/C11,"")</f>
        <v/>
      </c>
      <c r="D29" s="25">
        <f>IFERROR(D20/D11,"")</f>
        <v/>
      </c>
      <c r="E29" s="25">
        <f>IFERROR(E20/E11,"")</f>
        <v/>
      </c>
      <c r="F29" s="25">
        <f>IFERROR(F20/F11,"")</f>
        <v/>
      </c>
      <c r="G29" s="25">
        <f>IFERROR(G20/G11,"")</f>
        <v/>
      </c>
      <c r="H29" s="25">
        <f>IFERROR(H20/H11,"")</f>
        <v/>
      </c>
      <c r="I29" s="25">
        <f>IFERROR(I20/I11,"")</f>
        <v/>
      </c>
      <c r="J29" s="25">
        <f>IFERROR(J20/J11,"")</f>
        <v/>
      </c>
      <c r="K29" s="25">
        <f>IFERROR(K20/K11,"")</f>
        <v/>
      </c>
      <c r="L29" s="25">
        <f>IFERROR(L20/L11,"")</f>
        <v/>
      </c>
      <c r="M29" s="25">
        <f>IFERROR(M20/M11,"")</f>
        <v/>
      </c>
      <c r="N29" s="26">
        <f>IFERROR(N20/N11,"")</f>
        <v/>
      </c>
    </row>
    <row r="30">
      <c r="A30" s="5" t="inlineStr">
        <is>
          <t>YouTube登録者数</t>
        </is>
      </c>
      <c r="B30" s="25">
        <f>IFERROR(B21/B12,"")</f>
        <v/>
      </c>
      <c r="C30" s="25">
        <f>IFERROR(C21/C12,"")</f>
        <v/>
      </c>
      <c r="D30" s="25">
        <f>IFERROR(D21/D12,"")</f>
        <v/>
      </c>
      <c r="E30" s="25">
        <f>IFERROR(E21/E12,"")</f>
        <v/>
      </c>
      <c r="F30" s="25">
        <f>IFERROR(F21/F12,"")</f>
        <v/>
      </c>
      <c r="G30" s="25">
        <f>IFERROR(G21/G12,"")</f>
        <v/>
      </c>
      <c r="H30" s="25">
        <f>IFERROR(H21/H12,"")</f>
        <v/>
      </c>
      <c r="I30" s="25">
        <f>IFERROR(I21/I12,"")</f>
        <v/>
      </c>
      <c r="J30" s="25">
        <f>IFERROR(J21/J12,"")</f>
        <v/>
      </c>
      <c r="K30" s="25">
        <f>IFERROR(K21/K12,"")</f>
        <v/>
      </c>
      <c r="L30" s="25">
        <f>IFERROR(L21/L12,"")</f>
        <v/>
      </c>
      <c r="M30" s="25">
        <f>IFERROR(M21/M12,"")</f>
        <v/>
      </c>
      <c r="N30" s="26">
        <f>IFERROR(N21/N12,"")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P&amp;L 3年計画</t>
        </is>
      </c>
    </row>
    <row r="2">
      <c r="A2" s="2" t="inlineStr">
        <is>
          <t>Year 1 (投資期) → Year 2 (黒字化) → Year 3 (成長期)</t>
        </is>
      </c>
    </row>
    <row r="4">
      <c r="A4" s="4" t="inlineStr">
        <is>
          <t>項目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4" t="inlineStr">
        <is>
          <t>Year 2 成長率</t>
        </is>
      </c>
      <c r="F4" s="4" t="inlineStr">
        <is>
          <t>Year 3 成長率</t>
        </is>
      </c>
    </row>
    <row r="5">
      <c r="A5" s="20" t="inlineStr">
        <is>
          <t>【売上】</t>
        </is>
      </c>
    </row>
    <row r="6">
      <c r="A6" s="27" t="inlineStr">
        <is>
          <t>見学会予約収益</t>
        </is>
      </c>
      <c r="B6" s="10" t="n">
        <v>15300000</v>
      </c>
      <c r="C6" s="10" t="n">
        <v>21600000</v>
      </c>
      <c r="D6" s="10" t="n">
        <v>21600000</v>
      </c>
      <c r="E6" s="28">
        <f>IFERROR(C6/B6-1,"")</f>
        <v/>
      </c>
      <c r="F6" s="28">
        <f>IFERROR(D6/C6-1,"")</f>
        <v/>
      </c>
    </row>
    <row r="7">
      <c r="A7" s="27" t="inlineStr">
        <is>
          <t>成約報酬 3%</t>
        </is>
      </c>
      <c r="B7" s="10" t="n">
        <v>0</v>
      </c>
      <c r="C7" s="10" t="n">
        <v>13500000</v>
      </c>
      <c r="D7" s="10" t="n">
        <v>32400000</v>
      </c>
      <c r="E7" s="28">
        <f>IFERROR(C7/B7-1,"")</f>
        <v/>
      </c>
      <c r="F7" s="28">
        <f>IFERROR(D7/C7-1,"")</f>
        <v/>
      </c>
    </row>
    <row r="8">
      <c r="A8" s="27" t="inlineStr">
        <is>
          <t>月額サブスクリプション</t>
        </is>
      </c>
      <c r="B8" s="10" t="n">
        <v>0</v>
      </c>
      <c r="C8" s="10" t="n">
        <v>10800000</v>
      </c>
      <c r="D8" s="10" t="n">
        <v>16200000</v>
      </c>
      <c r="E8" s="28">
        <f>IFERROR(C8/B8-1,"")</f>
        <v/>
      </c>
      <c r="F8" s="28">
        <f>IFERROR(D8/C8-1,"")</f>
        <v/>
      </c>
    </row>
    <row r="9">
      <c r="A9" s="27" t="inlineStr">
        <is>
          <t>オプション制作</t>
        </is>
      </c>
      <c r="B9" s="10" t="n">
        <v>2700000</v>
      </c>
      <c r="C9" s="10" t="n">
        <v>5400000</v>
      </c>
      <c r="D9" s="10" t="n">
        <v>10800000</v>
      </c>
      <c r="E9" s="28">
        <f>IFERROR(C9/B9-1,"")</f>
        <v/>
      </c>
      <c r="F9" s="28">
        <f>IFERROR(D9/C9-1,"")</f>
        <v/>
      </c>
    </row>
    <row r="10">
      <c r="A10" s="27" t="inlineStr">
        <is>
          <t>B2C有料会員</t>
        </is>
      </c>
      <c r="B10" s="10" t="n">
        <v>0</v>
      </c>
      <c r="C10" s="10" t="n">
        <v>1200000</v>
      </c>
      <c r="D10" s="10" t="n">
        <v>5400000</v>
      </c>
      <c r="E10" s="28">
        <f>IFERROR(C10/B10-1,"")</f>
        <v/>
      </c>
      <c r="F10" s="28">
        <f>IFERROR(D10/C10-1,"")</f>
        <v/>
      </c>
    </row>
    <row r="11">
      <c r="A11" s="27" t="inlineStr">
        <is>
          <t>住宅ローン紹介料</t>
        </is>
      </c>
      <c r="B11" s="10" t="n">
        <v>0</v>
      </c>
      <c r="C11" s="10" t="n">
        <v>1200000</v>
      </c>
      <c r="D11" s="10" t="n">
        <v>10800000</v>
      </c>
      <c r="E11" s="28">
        <f>IFERROR(C11/B11-1,"")</f>
        <v/>
      </c>
      <c r="F11" s="28">
        <f>IFERROR(D11/C11-1,"")</f>
        <v/>
      </c>
    </row>
    <row r="12">
      <c r="A12" s="27" t="inlineStr">
        <is>
          <t>建材タイアップ・広告</t>
        </is>
      </c>
      <c r="B12" s="10" t="n">
        <v>0</v>
      </c>
      <c r="C12" s="10" t="n">
        <v>300000</v>
      </c>
      <c r="D12" s="10" t="n">
        <v>10800000</v>
      </c>
      <c r="E12" s="28">
        <f>IFERROR(C12/B12-1,"")</f>
        <v/>
      </c>
      <c r="F12" s="28">
        <f>IFERROR(D12/C12-1,"")</f>
        <v/>
      </c>
    </row>
    <row r="13">
      <c r="A13" s="29" t="inlineStr">
        <is>
          <t>売上合計</t>
        </is>
      </c>
      <c r="B13" s="30">
        <f>SUM(B6:B12)</f>
        <v/>
      </c>
      <c r="C13" s="30">
        <f>SUM(C6:C12)</f>
        <v/>
      </c>
      <c r="D13" s="30">
        <f>SUM(D6:D12)</f>
        <v/>
      </c>
      <c r="E13" s="31" t="n"/>
      <c r="F13" s="31" t="n"/>
    </row>
    <row r="15">
      <c r="A15" s="20" t="inlineStr">
        <is>
          <t>【原価】</t>
        </is>
      </c>
    </row>
    <row r="16">
      <c r="A16" s="27" t="inlineStr">
        <is>
          <t>マッチング運用原価 (15%)</t>
        </is>
      </c>
      <c r="B16" s="32" t="n">
        <v>-2295000</v>
      </c>
      <c r="C16" s="32" t="n">
        <v>-3240000</v>
      </c>
      <c r="D16" s="32" t="n">
        <v>-3240000</v>
      </c>
    </row>
    <row r="17">
      <c r="A17" s="27" t="inlineStr">
        <is>
          <t>サブスク運用原価 (20%)</t>
        </is>
      </c>
      <c r="B17" s="32" t="n">
        <v>0</v>
      </c>
      <c r="C17" s="32" t="n">
        <v>-2160000</v>
      </c>
      <c r="D17" s="32" t="n">
        <v>-3240000</v>
      </c>
    </row>
    <row r="18">
      <c r="A18" s="27" t="inlineStr">
        <is>
          <t>制作原価 (55%)</t>
        </is>
      </c>
      <c r="B18" s="32" t="n">
        <v>-1485000</v>
      </c>
      <c r="C18" s="32" t="n">
        <v>-2970000</v>
      </c>
      <c r="D18" s="32" t="n">
        <v>-5940000</v>
      </c>
    </row>
    <row r="19">
      <c r="A19" s="27" t="inlineStr">
        <is>
          <t>B2C決済手数料等 (10%)</t>
        </is>
      </c>
      <c r="B19" s="32" t="n">
        <v>0</v>
      </c>
      <c r="C19" s="32" t="n">
        <v>-270000</v>
      </c>
      <c r="D19" s="32" t="n">
        <v>-2700000</v>
      </c>
    </row>
    <row r="20">
      <c r="A20" s="33" t="inlineStr">
        <is>
          <t>原価合計</t>
        </is>
      </c>
      <c r="B20" s="34">
        <f>SUM(B16:B19)</f>
        <v/>
      </c>
      <c r="C20" s="34">
        <f>SUM(C16:C19)</f>
        <v/>
      </c>
      <c r="D20" s="34">
        <f>SUM(D16:D19)</f>
        <v/>
      </c>
    </row>
    <row r="21">
      <c r="A21" s="29" t="inlineStr">
        <is>
          <t>粗利</t>
        </is>
      </c>
      <c r="B21" s="30">
        <f>B13+B20</f>
        <v/>
      </c>
      <c r="C21" s="30">
        <f>C13+C20</f>
        <v/>
      </c>
      <c r="D21" s="30">
        <f>D13+D20</f>
        <v/>
      </c>
    </row>
    <row r="22">
      <c r="A22" s="27" t="inlineStr">
        <is>
          <t>粗利率</t>
        </is>
      </c>
      <c r="B22" s="25">
        <f>IFERROR(B21/B13,"")</f>
        <v/>
      </c>
      <c r="C22" s="25">
        <f>IFERROR(C21/C13,"")</f>
        <v/>
      </c>
      <c r="D22" s="25">
        <f>IFERROR(D21/D13,"")</f>
        <v/>
      </c>
    </row>
    <row r="24">
      <c r="A24" s="20" t="inlineStr">
        <is>
          <t>【販管費】</t>
        </is>
      </c>
    </row>
    <row r="25">
      <c r="A25" s="27" t="inlineStr">
        <is>
          <t>人件費</t>
        </is>
      </c>
      <c r="B25" s="32" t="n">
        <v>-12000000</v>
      </c>
      <c r="C25" s="32" t="n">
        <v>-21600000</v>
      </c>
      <c r="D25" s="32" t="n">
        <v>-36000000</v>
      </c>
    </row>
    <row r="26">
      <c r="A26" s="27" t="inlineStr">
        <is>
          <t>外注費</t>
        </is>
      </c>
      <c r="B26" s="32" t="n">
        <v>-1800000</v>
      </c>
      <c r="C26" s="32" t="n">
        <v>-3600000</v>
      </c>
      <c r="D26" s="32" t="n">
        <v>-6000000</v>
      </c>
    </row>
    <row r="27">
      <c r="A27" s="27" t="inlineStr">
        <is>
          <t>インフラ・システム</t>
        </is>
      </c>
      <c r="B27" s="32" t="n">
        <v>-900000</v>
      </c>
      <c r="C27" s="32" t="n">
        <v>-1800000</v>
      </c>
      <c r="D27" s="32" t="n">
        <v>-3000000</v>
      </c>
    </row>
    <row r="28">
      <c r="A28" s="27" t="inlineStr">
        <is>
          <t>マーケティング費</t>
        </is>
      </c>
      <c r="B28" s="32" t="n">
        <v>-1200000</v>
      </c>
      <c r="C28" s="32" t="n">
        <v>-3600000</v>
      </c>
      <c r="D28" s="32" t="n">
        <v>-6000000</v>
      </c>
    </row>
    <row r="29">
      <c r="A29" s="27" t="inlineStr">
        <is>
          <t>オフィス・光熱費</t>
        </is>
      </c>
      <c r="B29" s="32" t="n">
        <v>-600000</v>
      </c>
      <c r="C29" s="32" t="n">
        <v>-1200000</v>
      </c>
      <c r="D29" s="32" t="n">
        <v>-2400000</v>
      </c>
    </row>
    <row r="30">
      <c r="A30" s="27" t="inlineStr">
        <is>
          <t>その他販管費</t>
        </is>
      </c>
      <c r="B30" s="32" t="n">
        <v>-600000</v>
      </c>
      <c r="C30" s="32" t="n">
        <v>-1200000</v>
      </c>
      <c r="D30" s="32" t="n">
        <v>-2400000</v>
      </c>
    </row>
    <row r="31">
      <c r="A31" s="33" t="inlineStr">
        <is>
          <t>販管費合計</t>
        </is>
      </c>
      <c r="B31" s="34">
        <f>SUM(B25:B30)</f>
        <v/>
      </c>
      <c r="C31" s="34">
        <f>SUM(C25:C30)</f>
        <v/>
      </c>
      <c r="D31" s="34">
        <f>SUM(D25:D30)</f>
        <v/>
      </c>
    </row>
    <row r="33">
      <c r="A33" s="35" t="inlineStr">
        <is>
          <t>営業利益</t>
        </is>
      </c>
      <c r="B33" s="36">
        <f>B21+B31</f>
        <v/>
      </c>
      <c r="C33" s="36">
        <f>C21+C31</f>
        <v/>
      </c>
      <c r="D33" s="36">
        <f>D21+D31</f>
        <v/>
      </c>
    </row>
    <row r="34">
      <c r="A34" s="27" t="inlineStr">
        <is>
          <t>営業利益率</t>
        </is>
      </c>
      <c r="B34" s="37">
        <f>IFERROR(B33/B13,"")</f>
        <v/>
      </c>
      <c r="C34" s="37">
        <f>IFERROR(C33/C13,"")</f>
        <v/>
      </c>
      <c r="D34" s="37">
        <f>IFERROR(D33/D13,"")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</cols>
  <sheetData>
    <row r="1">
      <c r="A1" s="1" t="inlineStr">
        <is>
          <t>収益シミュレーター</t>
        </is>
      </c>
    </row>
    <row r="2">
      <c r="A2" s="2" t="inlineStr">
        <is>
          <t>入力欄に数値を入れると、自動で売上・粗利・利益を計算します</t>
        </is>
      </c>
    </row>
    <row r="4">
      <c r="A4" s="3" t="inlineStr">
        <is>
          <t>【入力欄】シナリオ変数</t>
        </is>
      </c>
    </row>
    <row r="5">
      <c r="A5" s="27" t="inlineStr">
        <is>
          <t>提携工務店数</t>
        </is>
      </c>
      <c r="B5" s="21" t="n">
        <v>20</v>
      </c>
      <c r="C5" s="17" t="inlineStr">
        <is>
          <t>社</t>
        </is>
      </c>
    </row>
    <row r="6">
      <c r="A6" s="27" t="inlineStr">
        <is>
          <t>社あたり月間予約数</t>
        </is>
      </c>
      <c r="B6" s="21" t="n">
        <v>3</v>
      </c>
      <c r="C6" s="17" t="inlineStr">
        <is>
          <t>件/社</t>
        </is>
      </c>
    </row>
    <row r="7">
      <c r="A7" s="27" t="inlineStr">
        <is>
          <t>見学会予約単価</t>
        </is>
      </c>
      <c r="B7" s="21" t="n">
        <v>50000</v>
      </c>
      <c r="C7" s="17" t="inlineStr">
        <is>
          <t>円/件</t>
        </is>
      </c>
    </row>
    <row r="8">
      <c r="A8" s="27" t="inlineStr">
        <is>
          <t>予約→成約率</t>
        </is>
      </c>
      <c r="B8" s="21" t="n">
        <v>10</v>
      </c>
      <c r="C8" s="17" t="inlineStr">
        <is>
          <t>%</t>
        </is>
      </c>
    </row>
    <row r="9">
      <c r="A9" s="27" t="inlineStr">
        <is>
          <t>平均契約金額</t>
        </is>
      </c>
      <c r="B9" s="21" t="n">
        <v>30000000</v>
      </c>
      <c r="C9" s="17" t="inlineStr">
        <is>
          <t>円</t>
        </is>
      </c>
    </row>
    <row r="10">
      <c r="A10" s="27" t="inlineStr">
        <is>
          <t>成約報酬率</t>
        </is>
      </c>
      <c r="B10" s="21" t="n">
        <v>3</v>
      </c>
      <c r="C10" s="17" t="inlineStr">
        <is>
          <t>%</t>
        </is>
      </c>
    </row>
    <row r="11">
      <c r="A11" s="27" t="inlineStr">
        <is>
          <t>月額サブスク契約数</t>
        </is>
      </c>
      <c r="B11" s="21" t="n">
        <v>5</v>
      </c>
      <c r="C11" s="17" t="inlineStr">
        <is>
          <t>社</t>
        </is>
      </c>
    </row>
    <row r="12">
      <c r="A12" s="27" t="inlineStr">
        <is>
          <t>サブスク平均月額</t>
        </is>
      </c>
      <c r="B12" s="21" t="n">
        <v>80000</v>
      </c>
      <c r="C12" s="17" t="inlineStr">
        <is>
          <t>円/社</t>
        </is>
      </c>
    </row>
    <row r="13">
      <c r="A13" s="27" t="inlineStr">
        <is>
          <t>オプション受注数</t>
        </is>
      </c>
      <c r="B13" s="21" t="n">
        <v>3</v>
      </c>
      <c r="C13" s="17" t="inlineStr">
        <is>
          <t>件/月</t>
        </is>
      </c>
    </row>
    <row r="14">
      <c r="A14" s="27" t="inlineStr">
        <is>
          <t>オプション平均単価</t>
        </is>
      </c>
      <c r="B14" s="21" t="n">
        <v>200000</v>
      </c>
      <c r="C14" s="17" t="inlineStr">
        <is>
          <t>円/件</t>
        </is>
      </c>
    </row>
    <row r="16">
      <c r="A16" s="3" t="inlineStr">
        <is>
          <t>【自動計算】月次収益</t>
        </is>
      </c>
    </row>
    <row r="17">
      <c r="A17" s="27" t="inlineStr">
        <is>
          <t>月間見学会予約件数</t>
        </is>
      </c>
      <c r="B17" s="38">
        <f>B5*B6</f>
        <v/>
      </c>
      <c r="C17" s="17" t="inlineStr">
        <is>
          <t>件</t>
        </is>
      </c>
    </row>
    <row r="18">
      <c r="A18" s="27" t="inlineStr">
        <is>
          <t>月間成約件数</t>
        </is>
      </c>
      <c r="B18" s="38">
        <f>B17*B8/100</f>
        <v/>
      </c>
      <c r="C18" s="17" t="inlineStr">
        <is>
          <t>件</t>
        </is>
      </c>
    </row>
    <row r="19">
      <c r="A19" s="27" t="inlineStr">
        <is>
          <t>見学会予約収益</t>
        </is>
      </c>
      <c r="B19" s="38">
        <f>B17*B7</f>
        <v/>
      </c>
      <c r="C19" s="17" t="inlineStr">
        <is>
          <t>円</t>
        </is>
      </c>
    </row>
    <row r="20">
      <c r="A20" s="27" t="inlineStr">
        <is>
          <t>成約報酬収益(3%上限)</t>
        </is>
      </c>
      <c r="B20" s="38">
        <f>B18*B9*B10/100-B18*B7</f>
        <v/>
      </c>
      <c r="C20" s="17" t="inlineStr">
        <is>
          <t>円</t>
        </is>
      </c>
    </row>
    <row r="21">
      <c r="A21" s="27" t="inlineStr">
        <is>
          <t>サブスク月額収益</t>
        </is>
      </c>
      <c r="B21" s="38">
        <f>B11*B12</f>
        <v/>
      </c>
      <c r="C21" s="17" t="inlineStr">
        <is>
          <t>円</t>
        </is>
      </c>
    </row>
    <row r="22">
      <c r="A22" s="27" t="inlineStr">
        <is>
          <t>オプション月額収益</t>
        </is>
      </c>
      <c r="B22" s="38">
        <f>B13*B14</f>
        <v/>
      </c>
      <c r="C22" s="17" t="inlineStr">
        <is>
          <t>円</t>
        </is>
      </c>
    </row>
    <row r="23">
      <c r="A23" s="27" t="inlineStr">
        <is>
          <t>月商合計</t>
        </is>
      </c>
      <c r="B23" s="30">
        <f>B19+B20+B21+B22</f>
        <v/>
      </c>
      <c r="C23" s="17" t="inlineStr">
        <is>
          <t>円</t>
        </is>
      </c>
    </row>
    <row r="24">
      <c r="A24" s="27" t="inlineStr">
        <is>
          <t>年商</t>
        </is>
      </c>
      <c r="B24" s="30">
        <f>B23*12</f>
        <v/>
      </c>
      <c r="C24" s="17" t="inlineStr">
        <is>
          <t>円</t>
        </is>
      </c>
    </row>
    <row r="25">
      <c r="A25" s="27" t="inlineStr">
        <is>
          <t>粗利 (70%想定)</t>
        </is>
      </c>
      <c r="B25" s="38">
        <f>B23*0.7</f>
        <v/>
      </c>
      <c r="C25" s="17" t="inlineStr">
        <is>
          <t>円/月</t>
        </is>
      </c>
    </row>
    <row r="26">
      <c r="A26" s="27" t="inlineStr">
        <is>
          <t>粗利年額</t>
        </is>
      </c>
      <c r="B26" s="38">
        <f>B25*12</f>
        <v/>
      </c>
      <c r="C26" s="17" t="inlineStr">
        <is>
          <t>円/年</t>
        </is>
      </c>
    </row>
    <row r="27">
      <c r="A27" s="27" t="inlineStr">
        <is>
          <t>販管費 (想定月 250万)</t>
        </is>
      </c>
      <c r="B27" s="38" t="n">
        <v>2500000</v>
      </c>
      <c r="C27" s="17" t="inlineStr">
        <is>
          <t>円/月</t>
        </is>
      </c>
    </row>
    <row r="28">
      <c r="A28" s="27" t="inlineStr">
        <is>
          <t>月次営業利益</t>
        </is>
      </c>
      <c r="B28" s="30">
        <f>B25-B27</f>
        <v/>
      </c>
      <c r="C28" s="17" t="inlineStr">
        <is>
          <t>円/月</t>
        </is>
      </c>
    </row>
    <row r="29">
      <c r="A29" s="27" t="inlineStr">
        <is>
          <t>年間営業利益</t>
        </is>
      </c>
      <c r="B29" s="30">
        <f>B28*12</f>
        <v/>
      </c>
      <c r="C29" s="17" t="inlineStr">
        <is>
          <t>円/年</t>
        </is>
      </c>
    </row>
    <row r="30">
      <c r="A30" s="27" t="inlineStr">
        <is>
          <t>営業利益率</t>
        </is>
      </c>
      <c r="B30" s="39">
        <f>B29/B24</f>
        <v/>
      </c>
      <c r="C30" s="17" t="inlineStr">
        <is>
          <t>%</t>
        </is>
      </c>
    </row>
    <row r="32">
      <c r="A32" s="2" t="inlineStr">
        <is>
          <t>※ 黄色のセルを編集すると、下の数字が自動更新されます</t>
        </is>
      </c>
    </row>
    <row r="33">
      <c r="A33" s="2" t="inlineStr">
        <is>
          <t>※ 成約報酬は「契約額×3% − 予約時5万円」で計算（ハイブリッド上限モデル）</t>
        </is>
      </c>
    </row>
    <row r="34">
      <c r="A34" s="2" t="inlineStr">
        <is>
          <t>※ 販管費は月250万円固定として概算。実際は組織成長に応じて増減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3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採用・販管費計画</t>
        </is>
      </c>
    </row>
    <row r="2">
      <c r="A2" s="2" t="inlineStr">
        <is>
          <t>人材の増員計画とコストシミュレーション</t>
        </is>
      </c>
    </row>
    <row r="4">
      <c r="A4" s="3" t="inlineStr">
        <is>
          <t>【採用計画】3年間のチーム構成</t>
        </is>
      </c>
    </row>
    <row r="5">
      <c r="A5" s="4" t="inlineStr">
        <is>
          <t>役職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月給平均</t>
        </is>
      </c>
      <c r="F5" s="4" t="inlineStr">
        <is>
          <t>Y1 年額</t>
        </is>
      </c>
      <c r="G5" s="4" t="inlineStr">
        <is>
          <t>Y2 年額</t>
        </is>
      </c>
      <c r="H5" s="4" t="inlineStr">
        <is>
          <t>Y3 年額</t>
        </is>
      </c>
    </row>
    <row r="6">
      <c r="A6" s="27" t="inlineStr">
        <is>
          <t>代表</t>
        </is>
      </c>
      <c r="B6" s="40" t="n">
        <v>1</v>
      </c>
      <c r="C6" s="40" t="n">
        <v>1</v>
      </c>
      <c r="D6" s="40" t="n">
        <v>1</v>
      </c>
      <c r="E6" s="41" t="n">
        <v>500000</v>
      </c>
      <c r="F6" s="41">
        <f>B6*E6*12</f>
        <v/>
      </c>
      <c r="G6" s="41">
        <f>C6*E6*12</f>
        <v/>
      </c>
      <c r="H6" s="41">
        <f>D6*E6*12</f>
        <v/>
      </c>
    </row>
    <row r="7">
      <c r="A7" s="27" t="inlineStr">
        <is>
          <t>コンテンツ制作（動画）</t>
        </is>
      </c>
      <c r="B7" s="40" t="n">
        <v>1</v>
      </c>
      <c r="C7" s="40" t="n">
        <v>2</v>
      </c>
      <c r="D7" s="40" t="n">
        <v>3</v>
      </c>
      <c r="E7" s="41" t="n">
        <v>350000</v>
      </c>
      <c r="F7" s="41">
        <f>B7*E7*12</f>
        <v/>
      </c>
      <c r="G7" s="41">
        <f>C7*E7*12</f>
        <v/>
      </c>
      <c r="H7" s="41">
        <f>D7*E7*12</f>
        <v/>
      </c>
    </row>
    <row r="8">
      <c r="A8" s="27" t="inlineStr">
        <is>
          <t>エンジニア</t>
        </is>
      </c>
      <c r="B8" s="40" t="n">
        <v>1</v>
      </c>
      <c r="C8" s="40" t="n">
        <v>1</v>
      </c>
      <c r="D8" s="40" t="n">
        <v>2</v>
      </c>
      <c r="E8" s="41" t="n">
        <v>500000</v>
      </c>
      <c r="F8" s="41">
        <f>B8*E8*12</f>
        <v/>
      </c>
      <c r="G8" s="41">
        <f>C8*E8*12</f>
        <v/>
      </c>
      <c r="H8" s="41">
        <f>D8*E8*12</f>
        <v/>
      </c>
    </row>
    <row r="9">
      <c r="A9" s="27" t="inlineStr">
        <is>
          <t>カスタマーサクセス</t>
        </is>
      </c>
      <c r="B9" s="40" t="n">
        <v>1</v>
      </c>
      <c r="C9" s="40" t="n">
        <v>1</v>
      </c>
      <c r="D9" s="40" t="n">
        <v>2</v>
      </c>
      <c r="E9" s="41" t="n">
        <v>350000</v>
      </c>
      <c r="F9" s="41">
        <f>B9*E9*12</f>
        <v/>
      </c>
      <c r="G9" s="41">
        <f>C9*E9*12</f>
        <v/>
      </c>
      <c r="H9" s="41">
        <f>D9*E9*12</f>
        <v/>
      </c>
    </row>
    <row r="10">
      <c r="A10" s="27" t="inlineStr">
        <is>
          <t>営業責任者</t>
        </is>
      </c>
      <c r="B10" s="40" t="n">
        <v>0</v>
      </c>
      <c r="C10" s="40" t="n">
        <v>1</v>
      </c>
      <c r="D10" s="40" t="n">
        <v>1</v>
      </c>
      <c r="E10" s="41" t="n">
        <v>450000</v>
      </c>
      <c r="F10" s="41">
        <f>B10*E10*12</f>
        <v/>
      </c>
      <c r="G10" s="41">
        <f>C10*E10*12</f>
        <v/>
      </c>
      <c r="H10" s="41">
        <f>D10*E10*12</f>
        <v/>
      </c>
    </row>
    <row r="11">
      <c r="A11" s="27" t="inlineStr">
        <is>
          <t>マーケティング責任者</t>
        </is>
      </c>
      <c r="B11" s="40" t="n">
        <v>0</v>
      </c>
      <c r="C11" s="40" t="n">
        <v>0</v>
      </c>
      <c r="D11" s="40" t="n">
        <v>1</v>
      </c>
      <c r="E11" s="41" t="n">
        <v>450000</v>
      </c>
      <c r="F11" s="41">
        <f>B11*E11*12</f>
        <v/>
      </c>
      <c r="G11" s="41">
        <f>C11*E11*12</f>
        <v/>
      </c>
      <c r="H11" s="41">
        <f>D11*E11*12</f>
        <v/>
      </c>
    </row>
    <row r="12">
      <c r="A12" s="27" t="inlineStr">
        <is>
          <t>バックオフィス</t>
        </is>
      </c>
      <c r="B12" s="40" t="n">
        <v>0</v>
      </c>
      <c r="C12" s="40" t="n">
        <v>1</v>
      </c>
      <c r="D12" s="40" t="n">
        <v>1</v>
      </c>
      <c r="E12" s="41" t="n">
        <v>320000</v>
      </c>
      <c r="F12" s="41">
        <f>B12*E12*12</f>
        <v/>
      </c>
      <c r="G12" s="41">
        <f>C12*E12*12</f>
        <v/>
      </c>
      <c r="H12" s="41">
        <f>D12*E12*12</f>
        <v/>
      </c>
    </row>
    <row r="13">
      <c r="A13" s="27" t="inlineStr">
        <is>
          <t>プロダクトマネージャー</t>
        </is>
      </c>
      <c r="B13" s="40" t="n">
        <v>0</v>
      </c>
      <c r="C13" s="40" t="n">
        <v>0</v>
      </c>
      <c r="D13" s="40" t="n">
        <v>1</v>
      </c>
      <c r="E13" s="41" t="n">
        <v>500000</v>
      </c>
      <c r="F13" s="41">
        <f>B13*E13*12</f>
        <v/>
      </c>
      <c r="G13" s="41">
        <f>C13*E13*12</f>
        <v/>
      </c>
      <c r="H13" s="41">
        <f>D13*E13*12</f>
        <v/>
      </c>
    </row>
    <row r="14">
      <c r="A14" s="29" t="inlineStr">
        <is>
          <t>合計</t>
        </is>
      </c>
      <c r="B14" s="18">
        <f>SUM(B6:B13)</f>
        <v/>
      </c>
      <c r="C14" s="18">
        <f>SUM(C6:C13)</f>
        <v/>
      </c>
      <c r="D14" s="18">
        <f>SUM(D6:D13)</f>
        <v/>
      </c>
      <c r="E14" s="31" t="n"/>
      <c r="F14" s="30">
        <f>SUM(F6:F13)</f>
        <v/>
      </c>
      <c r="G14" s="30">
        <f>SUM(G6:G13)</f>
        <v/>
      </c>
      <c r="H14" s="30">
        <f>SUM(H6:H13)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10" customWidth="1" min="4" max="4"/>
    <col width="40" customWidth="1" min="5" max="5"/>
    <col width="12" customWidth="1" min="6" max="6"/>
    <col width="8" customWidth="1" min="7" max="7"/>
    <col width="12" customWidth="1" min="8" max="8"/>
  </cols>
  <sheetData>
    <row r="1">
      <c r="A1" s="1" t="inlineStr">
        <is>
          <t>リスク管理表</t>
        </is>
      </c>
    </row>
    <row r="2">
      <c r="A2" s="2" t="inlineStr">
        <is>
          <t>主要リスクとその対策の進捗を管理</t>
        </is>
      </c>
    </row>
    <row r="4">
      <c r="A4" s="4" t="inlineStr">
        <is>
          <t>#</t>
        </is>
      </c>
      <c r="B4" s="4" t="inlineStr">
        <is>
          <t>リスク項目</t>
        </is>
      </c>
      <c r="C4" s="4" t="inlineStr">
        <is>
          <t>影響度</t>
        </is>
      </c>
      <c r="D4" s="4" t="inlineStr">
        <is>
          <t>発生確率</t>
        </is>
      </c>
      <c r="E4" s="4" t="inlineStr">
        <is>
          <t>対策</t>
        </is>
      </c>
      <c r="F4" s="4" t="inlineStr">
        <is>
          <t>責任者</t>
        </is>
      </c>
      <c r="G4" s="4" t="inlineStr">
        <is>
          <t>期限</t>
        </is>
      </c>
      <c r="H4" s="4" t="inlineStr">
        <is>
          <t>ステータス</t>
        </is>
      </c>
    </row>
    <row r="5">
      <c r="A5" s="16" t="n">
        <v>1</v>
      </c>
      <c r="B5" s="6" t="inlineStr">
        <is>
          <t>YouTubeアルゴリズム変更による流入減</t>
        </is>
      </c>
      <c r="C5" s="42" t="inlineStr">
        <is>
          <t>高</t>
        </is>
      </c>
      <c r="D5" s="11" t="inlineStr">
        <is>
          <t>中</t>
        </is>
      </c>
      <c r="E5" s="6" t="inlineStr">
        <is>
          <t>Google検索・メルマガ・SNSへの流入源分散</t>
        </is>
      </c>
      <c r="F5" s="6" t="inlineStr">
        <is>
          <t>代表</t>
        </is>
      </c>
      <c r="G5" s="11" t="inlineStr">
        <is>
          <t>M6</t>
        </is>
      </c>
      <c r="H5" s="11" t="inlineStr">
        <is>
          <t>未着手</t>
        </is>
      </c>
    </row>
    <row r="6">
      <c r="A6" s="16" t="n">
        <v>2</v>
      </c>
      <c r="B6" s="6" t="inlineStr">
        <is>
          <t>工務店の成約申告漏れ</t>
        </is>
      </c>
      <c r="C6" s="42" t="inlineStr">
        <is>
          <t>高</t>
        </is>
      </c>
      <c r="D6" s="11" t="inlineStr">
        <is>
          <t>中高</t>
        </is>
      </c>
      <c r="E6" s="6" t="inlineStr">
        <is>
          <t>契約書に成約報告義務条項 / ユーザー側確認ルート</t>
        </is>
      </c>
      <c r="F6" s="6" t="inlineStr">
        <is>
          <t>代表</t>
        </is>
      </c>
      <c r="G6" s="11" t="inlineStr">
        <is>
          <t>M6</t>
        </is>
      </c>
      <c r="H6" s="11" t="inlineStr">
        <is>
          <t>未着手</t>
        </is>
      </c>
    </row>
    <row r="7">
      <c r="A7" s="16" t="n">
        <v>3</v>
      </c>
      <c r="B7" s="6" t="inlineStr">
        <is>
          <t>競合ポータルの値下げ攻勢</t>
        </is>
      </c>
      <c r="C7" s="43" t="inlineStr">
        <is>
          <t>中</t>
        </is>
      </c>
      <c r="D7" s="11" t="inlineStr">
        <is>
          <t>中</t>
        </is>
      </c>
      <c r="E7" s="6" t="inlineStr">
        <is>
          <t>コンテンツ資産 + Smart Match のロックイン強化</t>
        </is>
      </c>
      <c r="F7" s="6" t="inlineStr">
        <is>
          <t>営業</t>
        </is>
      </c>
      <c r="G7" s="11" t="inlineStr">
        <is>
          <t>M12</t>
        </is>
      </c>
      <c r="H7" s="11" t="inlineStr">
        <is>
          <t>未着手</t>
        </is>
      </c>
    </row>
    <row r="8">
      <c r="A8" s="16" t="n">
        <v>4</v>
      </c>
      <c r="B8" s="6" t="inlineStr">
        <is>
          <t>コンテンツ制作コストの高騰</t>
        </is>
      </c>
      <c r="C8" s="43" t="inlineStr">
        <is>
          <t>中</t>
        </is>
      </c>
      <c r="D8" s="11" t="inlineStr">
        <is>
          <t>中</t>
        </is>
      </c>
      <c r="E8" s="6" t="inlineStr">
        <is>
          <t>標準原価定義 / 月間制作本数上限 / 外部クリエイター網</t>
        </is>
      </c>
      <c r="F8" s="6" t="inlineStr">
        <is>
          <t>制作</t>
        </is>
      </c>
      <c r="G8" s="11" t="inlineStr">
        <is>
          <t>M9</t>
        </is>
      </c>
      <c r="H8" s="11" t="inlineStr">
        <is>
          <t>未着手</t>
        </is>
      </c>
    </row>
    <row r="9">
      <c r="A9" s="16" t="n">
        <v>5</v>
      </c>
      <c r="B9" s="6" t="inlineStr">
        <is>
          <t>多店舗化時の品質ばらつき</t>
        </is>
      </c>
      <c r="C9" s="43" t="inlineStr">
        <is>
          <t>中</t>
        </is>
      </c>
      <c r="D9" s="11" t="inlineStr">
        <is>
          <t>低</t>
        </is>
      </c>
      <c r="E9" s="6" t="inlineStr">
        <is>
          <t>SOP整備 / CS スコア KPI 化</t>
        </is>
      </c>
      <c r="F9" s="6" t="inlineStr">
        <is>
          <t>CS</t>
        </is>
      </c>
      <c r="G9" s="11" t="inlineStr">
        <is>
          <t>M18</t>
        </is>
      </c>
      <c r="H9" s="11" t="inlineStr">
        <is>
          <t>未着手</t>
        </is>
      </c>
    </row>
    <row r="10">
      <c r="A10" s="16" t="n">
        <v>6</v>
      </c>
      <c r="B10" s="6" t="inlineStr">
        <is>
          <t>主要人材の離脱</t>
        </is>
      </c>
      <c r="C10" s="43" t="inlineStr">
        <is>
          <t>中</t>
        </is>
      </c>
      <c r="D10" s="11" t="inlineStr">
        <is>
          <t>低</t>
        </is>
      </c>
      <c r="E10" s="6" t="inlineStr">
        <is>
          <t>Equity プール / ナレッジ文書化</t>
        </is>
      </c>
      <c r="F10" s="6" t="inlineStr">
        <is>
          <t>代表</t>
        </is>
      </c>
      <c r="G10" s="11" t="inlineStr">
        <is>
          <t>M12</t>
        </is>
      </c>
      <c r="H10" s="11" t="inlineStr">
        <is>
          <t>未着手</t>
        </is>
      </c>
    </row>
    <row r="11">
      <c r="A11" s="16" t="n">
        <v>7</v>
      </c>
      <c r="B11" s="6" t="inlineStr">
        <is>
          <t>先行10社プランの約束履行の失念</t>
        </is>
      </c>
      <c r="C11" s="42" t="inlineStr">
        <is>
          <t>高</t>
        </is>
      </c>
      <c r="D11" s="11" t="inlineStr">
        <is>
          <t>低</t>
        </is>
      </c>
      <c r="E11" s="6" t="inlineStr">
        <is>
          <t>契約書面化 / 社内チェックリスト整備</t>
        </is>
      </c>
      <c r="F11" s="6" t="inlineStr">
        <is>
          <t>代表</t>
        </is>
      </c>
      <c r="G11" s="11" t="inlineStr">
        <is>
          <t>M3</t>
        </is>
      </c>
      <c r="H11" s="11" t="inlineStr">
        <is>
          <t>未着手</t>
        </is>
      </c>
    </row>
    <row r="12">
      <c r="A12" s="16" t="n">
        <v>8</v>
      </c>
      <c r="B12" s="6" t="inlineStr">
        <is>
          <t>キャッシュフロー悪化</t>
        </is>
      </c>
      <c r="C12" s="42" t="inlineStr">
        <is>
          <t>高</t>
        </is>
      </c>
      <c r="D12" s="11" t="inlineStr">
        <is>
          <t>中</t>
        </is>
      </c>
      <c r="E12" s="6" t="inlineStr">
        <is>
          <t>月次キャッシュ残高モニタリング / 融資枠準備</t>
        </is>
      </c>
      <c r="F12" s="6" t="inlineStr">
        <is>
          <t>代表</t>
        </is>
      </c>
      <c r="G12" s="11" t="inlineStr">
        <is>
          <t>M3</t>
        </is>
      </c>
      <c r="H12" s="11" t="inlineStr">
        <is>
          <t>未着手</t>
        </is>
      </c>
    </row>
    <row r="13">
      <c r="A13" s="16" t="n">
        <v>9</v>
      </c>
      <c r="B13" s="6" t="inlineStr">
        <is>
          <t>AI診断の精度不足</t>
        </is>
      </c>
      <c r="C13" s="11" t="inlineStr">
        <is>
          <t>低</t>
        </is>
      </c>
      <c r="D13" s="11" t="inlineStr">
        <is>
          <t>中</t>
        </is>
      </c>
      <c r="E13" s="6" t="inlineStr">
        <is>
          <t>定期的な A/B テスト / フィードバックループ整備</t>
        </is>
      </c>
      <c r="F13" s="6" t="inlineStr">
        <is>
          <t>エンジニア</t>
        </is>
      </c>
      <c r="G13" s="11" t="inlineStr">
        <is>
          <t>M9</t>
        </is>
      </c>
      <c r="H13" s="11" t="inlineStr">
        <is>
          <t>未着手</t>
        </is>
      </c>
    </row>
    <row r="14">
      <c r="A14" s="16" t="n">
        <v>10</v>
      </c>
      <c r="B14" s="6" t="inlineStr">
        <is>
          <t>法規制の変更（景表法・特商法）</t>
        </is>
      </c>
      <c r="C14" s="43" t="inlineStr">
        <is>
          <t>中</t>
        </is>
      </c>
      <c r="D14" s="11" t="inlineStr">
        <is>
          <t>低</t>
        </is>
      </c>
      <c r="E14" s="6" t="inlineStr">
        <is>
          <t>顧問弁護士との定期相談 / コンプライアンス研修</t>
        </is>
      </c>
      <c r="F14" s="6" t="inlineStr">
        <is>
          <t>代表</t>
        </is>
      </c>
      <c r="G14" s="11" t="inlineStr">
        <is>
          <t>M12</t>
        </is>
      </c>
      <c r="H14" s="11" t="inlineStr">
        <is>
          <t>未着手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フェーズ移行判断基準</t>
        </is>
      </c>
    </row>
    <row r="2">
      <c r="A2" s="2" t="inlineStr">
        <is>
          <t>「今決めること」と「後で決めること」を分けた、段階的な料金・戦略設計</t>
        </is>
      </c>
    </row>
    <row r="4">
      <c r="A4" s="44" t="inlineStr">
        <is>
          <t>■ 3つのフェーズ定義</t>
        </is>
      </c>
    </row>
    <row r="5">
      <c r="A5" s="45" t="inlineStr">
        <is>
          <t>フェーズ</t>
        </is>
      </c>
      <c r="B5" s="45" t="inlineStr">
        <is>
          <t>期間目安</t>
        </is>
      </c>
      <c r="C5" s="45" t="inlineStr">
        <is>
          <t>主目的</t>
        </is>
      </c>
      <c r="D5" s="45" t="inlineStr">
        <is>
          <t>料金方針</t>
        </is>
      </c>
      <c r="E5" s="45" t="inlineStr">
        <is>
          <t>成功指標</t>
        </is>
      </c>
    </row>
    <row r="6" ht="60" customHeight="1">
      <c r="A6" s="18" t="inlineStr">
        <is>
          <t>フェーズ1
実績作り期</t>
        </is>
      </c>
      <c r="B6" s="46" t="inlineStr">
        <is>
          <t>M0 〜 M6
(2026/05-11)</t>
        </is>
      </c>
      <c r="C6" s="47" t="inlineStr">
        <is>
          <t>導入と成功事例の蓄積
再現性の確認を優先</t>
        </is>
      </c>
      <c r="D6" s="46" t="inlineStr">
        <is>
          <t>導入しやすい価格
(見学会予約 ¥50,000/件のみ)</t>
        </is>
      </c>
      <c r="E6" s="47" t="inlineStr">
        <is>
          <t>先行10社運用開始
成約事例 3件以上</t>
        </is>
      </c>
    </row>
    <row r="7" ht="60" customHeight="1">
      <c r="A7" s="18" t="inlineStr">
        <is>
          <t>フェーズ2
検証期</t>
        </is>
      </c>
      <c r="B7" s="46" t="inlineStr">
        <is>
          <t>M6 〜 M12
(2026/11-2027/05)</t>
        </is>
      </c>
      <c r="C7" s="47" t="inlineStr">
        <is>
          <t>成果が出る顧客像を特定
納得される単価を確認</t>
        </is>
      </c>
      <c r="D7" s="46" t="inlineStr">
        <is>
          <t>ハイブリッド成果報酬モデル
(予約+成約3%上限)をテスト</t>
        </is>
      </c>
      <c r="E7" s="47" t="inlineStr">
        <is>
          <t>成約事例 10件以上
継続率 80%以上</t>
        </is>
      </c>
    </row>
    <row r="8" ht="60" customHeight="1">
      <c r="A8" s="18" t="inlineStr">
        <is>
          <t>フェーズ3
最適化期</t>
        </is>
      </c>
      <c r="B8" s="46" t="inlineStr">
        <is>
          <t>M12 〜 M24+
(2027/05-)</t>
        </is>
      </c>
      <c r="C8" s="47" t="inlineStr">
        <is>
          <t>利益が残る価格に改定
本格的な価格戦略実行</t>
        </is>
      </c>
      <c r="D8" s="46" t="inlineStr">
        <is>
          <t>月額サブスク本格化
+ 隣接収益の多角化</t>
        </is>
      </c>
      <c r="E8" s="47" t="inlineStr">
        <is>
          <t>月商 ¥3.5M 到達
粗利率 70%以上</t>
        </is>
      </c>
    </row>
    <row r="11">
      <c r="A11" s="44" t="inlineStr">
        <is>
          <t>■ 次フェーズへの移行条件(5つの判断トリガー)</t>
        </is>
      </c>
    </row>
    <row r="12">
      <c r="A12" s="45" t="inlineStr">
        <is>
          <t>#</t>
        </is>
      </c>
      <c r="B12" s="45" t="inlineStr">
        <is>
          <t>判断トリガー</t>
        </is>
      </c>
      <c r="C12" s="45" t="inlineStr">
        <is>
          <t>具体的な数値基準</t>
        </is>
      </c>
      <c r="D12" s="45" t="inlineStr">
        <is>
          <t>現在値</t>
        </is>
      </c>
      <c r="E12" s="45" t="inlineStr">
        <is>
          <t>達成</t>
        </is>
      </c>
      <c r="F12" s="45" t="inlineStr">
        <is>
          <t>フェーズ</t>
        </is>
      </c>
    </row>
    <row r="13">
      <c r="A13" s="16" t="inlineStr">
        <is>
          <t>1</t>
        </is>
      </c>
      <c r="B13" s="48" t="inlineStr">
        <is>
          <t>月間予約数</t>
        </is>
      </c>
      <c r="C13" s="48" t="inlineStr">
        <is>
          <t>10件以上が3ヶ月連続</t>
        </is>
      </c>
      <c r="D13" s="49" t="inlineStr">
        <is>
          <t>─</t>
        </is>
      </c>
      <c r="E13" s="49" t="inlineStr"/>
      <c r="F13" s="50" t="inlineStr">
        <is>
          <t>P1→P2</t>
        </is>
      </c>
    </row>
    <row r="14">
      <c r="A14" s="16" t="inlineStr">
        <is>
          <t>2</t>
        </is>
      </c>
      <c r="B14" s="48" t="inlineStr">
        <is>
          <t>来場率</t>
        </is>
      </c>
      <c r="C14" s="48" t="inlineStr">
        <is>
          <t>予約の70%以上が来場</t>
        </is>
      </c>
      <c r="D14" s="49" t="inlineStr">
        <is>
          <t>─</t>
        </is>
      </c>
      <c r="E14" s="49" t="inlineStr"/>
      <c r="F14" s="50" t="inlineStr">
        <is>
          <t>P1→P2</t>
        </is>
      </c>
    </row>
    <row r="15">
      <c r="A15" s="16" t="inlineStr">
        <is>
          <t>3</t>
        </is>
      </c>
      <c r="B15" s="48" t="inlineStr">
        <is>
          <t>成約確認</t>
        </is>
      </c>
      <c r="C15" s="48" t="inlineStr">
        <is>
          <t>成約3社以上で確認</t>
        </is>
      </c>
      <c r="D15" s="49" t="inlineStr">
        <is>
          <t>─</t>
        </is>
      </c>
      <c r="E15" s="49" t="inlineStr"/>
      <c r="F15" s="50" t="inlineStr">
        <is>
          <t>P1→P2</t>
        </is>
      </c>
    </row>
    <row r="16">
      <c r="A16" s="16" t="inlineStr">
        <is>
          <t>4</t>
        </is>
      </c>
      <c r="B16" s="48" t="inlineStr">
        <is>
          <t>継続率</t>
        </is>
      </c>
      <c r="C16" s="48" t="inlineStr">
        <is>
          <t>6ヶ月後の契約継続 80%以上</t>
        </is>
      </c>
      <c r="D16" s="49" t="inlineStr">
        <is>
          <t>─</t>
        </is>
      </c>
      <c r="E16" s="49" t="inlineStr"/>
      <c r="F16" s="50" t="inlineStr">
        <is>
          <t>P2→P3</t>
        </is>
      </c>
    </row>
    <row r="17">
      <c r="A17" s="16" t="inlineStr">
        <is>
          <t>5</t>
        </is>
      </c>
      <c r="B17" s="48" t="inlineStr">
        <is>
          <t>費用対効果の納得</t>
        </is>
      </c>
      <c r="C17" s="48" t="inlineStr">
        <is>
          <t>工務店NPS 60以上</t>
        </is>
      </c>
      <c r="D17" s="49" t="inlineStr">
        <is>
          <t>─</t>
        </is>
      </c>
      <c r="E17" s="49" t="inlineStr"/>
      <c r="F17" s="50" t="inlineStr">
        <is>
          <t>P2→P3</t>
        </is>
      </c>
    </row>
    <row r="20">
      <c r="A20" s="44" t="inlineStr">
        <is>
          <t>■ 今決めること / 今決めないこと</t>
        </is>
      </c>
    </row>
    <row r="21">
      <c r="A21" s="18" t="inlineStr">
        <is>
          <t>✅ 今決めておくべきこと</t>
        </is>
      </c>
      <c r="B21" s="13" t="n"/>
      <c r="C21" s="14" t="n"/>
      <c r="D21" s="51" t="inlineStr">
        <is>
          <t>⏸ 今決めなくていいこと</t>
        </is>
      </c>
      <c r="E21" s="13" t="n"/>
      <c r="F21" s="14" t="n"/>
    </row>
    <row r="22">
      <c r="A22" s="52" t="inlineStr">
        <is>
          <t>● 将来、何に対してお金を取るか(課金思想)</t>
        </is>
      </c>
      <c r="B22" s="13" t="n"/>
      <c r="C22" s="14" t="n"/>
      <c r="D22" s="53" t="inlineStr">
        <is>
          <t>○ 具体的な料金表の詳細数字</t>
        </is>
      </c>
      <c r="E22" s="13" t="n"/>
      <c r="F22" s="14" t="n"/>
    </row>
    <row r="23">
      <c r="A23" s="52" t="inlineStr">
        <is>
          <t>● どの数字で料金改定するか(判断トリガー)</t>
        </is>
      </c>
      <c r="B23" s="13" t="n"/>
      <c r="C23" s="14" t="n"/>
      <c r="D23" s="53" t="inlineStr">
        <is>
          <t>○ 月額プランの正確な金額</t>
        </is>
      </c>
      <c r="E23" s="13" t="n"/>
      <c r="F23" s="14" t="n"/>
    </row>
    <row r="24">
      <c r="A24" s="52" t="inlineStr">
        <is>
          <t>● 先行10社との約束の維持方針</t>
        </is>
      </c>
      <c r="B24" s="13" t="n"/>
      <c r="C24" s="14" t="n"/>
      <c r="D24" s="53" t="inlineStr">
        <is>
          <t>○ プラン名・ブランディング</t>
        </is>
      </c>
      <c r="E24" s="13" t="n"/>
      <c r="F24" s="14" t="n"/>
    </row>
    <row r="25">
      <c r="A25" s="52" t="inlineStr">
        <is>
          <t>● 3フェーズの移行条件</t>
        </is>
      </c>
      <c r="B25" s="13" t="n"/>
      <c r="C25" s="14" t="n"/>
      <c r="D25" s="53" t="inlineStr">
        <is>
          <t>○ 厳密な値上げ幅</t>
        </is>
      </c>
      <c r="E25" s="13" t="n"/>
      <c r="F25" s="14" t="n"/>
    </row>
    <row r="26">
      <c r="A26" s="52" t="inlineStr">
        <is>
          <t>● 長期の1枚定義(Vision)</t>
        </is>
      </c>
      <c r="B26" s="13" t="n"/>
      <c r="C26" s="14" t="n"/>
      <c r="D26" s="53" t="inlineStr">
        <is>
          <t>○ 上位プランのサービス内訳</t>
        </is>
      </c>
      <c r="E26" s="13" t="n"/>
      <c r="F26" s="14" t="n"/>
    </row>
  </sheetData>
  <mergeCells count="12">
    <mergeCell ref="A25:C25"/>
    <mergeCell ref="D23:F23"/>
    <mergeCell ref="A23:C23"/>
    <mergeCell ref="D22:F22"/>
    <mergeCell ref="A22:C22"/>
    <mergeCell ref="D26:F26"/>
    <mergeCell ref="A21:C21"/>
    <mergeCell ref="D21:F21"/>
    <mergeCell ref="D25:F25"/>
    <mergeCell ref="A26:C26"/>
    <mergeCell ref="A24:C24"/>
    <mergeCell ref="D24:F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6" customWidth="1" min="5" max="5"/>
    <col width="10" customWidth="1" min="6" max="6"/>
  </cols>
  <sheetData>
    <row r="1">
      <c r="A1" s="1" t="inlineStr">
        <is>
          <t>ぺいほーむ 長期の1枚定義</t>
        </is>
      </c>
    </row>
    <row r="2">
      <c r="A2" s="2" t="inlineStr">
        <is>
          <t>細かい数字は決めない。方向性だけを明確にする、事業の北極星。</t>
        </is>
      </c>
    </row>
    <row r="4" ht="26" customHeight="1">
      <c r="A4" s="4" t="inlineStr">
        <is>
          <t>VISION(目指す最終形)</t>
        </is>
      </c>
      <c r="B4" s="13" t="n"/>
      <c r="C4" s="13" t="n"/>
      <c r="D4" s="13" t="n"/>
      <c r="E4" s="13" t="n"/>
      <c r="F4" s="14" t="n"/>
    </row>
    <row r="5" ht="35" customHeight="1">
      <c r="A5" s="54" t="inlineStr">
        <is>
          <t>ぺいほーむは最終的に
「鹿児島・九州の工務店集客・比較・予約・信頼形成の基盤」になる</t>
        </is>
      </c>
      <c r="B5" s="57" t="n"/>
      <c r="C5" s="57" t="n"/>
      <c r="D5" s="57" t="n"/>
      <c r="E5" s="57" t="n"/>
      <c r="F5" s="58" t="n"/>
    </row>
    <row r="6" ht="35" customHeight="1">
      <c r="A6" s="59" t="n"/>
      <c r="B6" s="60" t="n"/>
      <c r="C6" s="60" t="n"/>
      <c r="D6" s="60" t="n"/>
      <c r="E6" s="60" t="n"/>
      <c r="F6" s="61" t="n"/>
    </row>
    <row r="8" ht="26" customHeight="1">
      <c r="A8" s="4" t="inlineStr">
        <is>
          <t>REVENUE(収益源の方向性)</t>
        </is>
      </c>
      <c r="B8" s="13" t="n"/>
      <c r="C8" s="13" t="n"/>
      <c r="D8" s="13" t="n"/>
      <c r="E8" s="13" t="n"/>
      <c r="F8" s="14" t="n"/>
    </row>
    <row r="9">
      <c r="A9" s="45" t="inlineStr">
        <is>
          <t>区分</t>
        </is>
      </c>
      <c r="B9" s="45" t="inlineStr">
        <is>
          <t>収益源</t>
        </is>
      </c>
      <c r="C9" s="45" t="inlineStr">
        <is>
          <t>方針</t>
        </is>
      </c>
      <c r="D9" s="13" t="n"/>
      <c r="E9" s="14" t="n"/>
    </row>
    <row r="10">
      <c r="A10" s="55" t="inlineStr">
        <is>
          <t>主力</t>
        </is>
      </c>
      <c r="B10" s="5" t="inlineStr">
        <is>
          <t>予約課金 + 月額課金</t>
        </is>
      </c>
      <c r="C10" s="48" t="inlineStr">
        <is>
          <t>予約ごとの成果報酬と、月額定額の組み合わせで育てる</t>
        </is>
      </c>
      <c r="D10" s="13" t="n"/>
      <c r="E10" s="14" t="n"/>
      <c r="F10" s="56" t="inlineStr">
        <is>
          <t>◎</t>
        </is>
      </c>
    </row>
    <row r="11">
      <c r="A11" s="55" t="inlineStr">
        <is>
          <t>補助</t>
        </is>
      </c>
      <c r="B11" s="5" t="inlineStr">
        <is>
          <t>成約報酬(成果連動)</t>
        </is>
      </c>
      <c r="C11" s="48" t="inlineStr">
        <is>
          <t>上位プランまたは無料相談経由に限定して扱う</t>
        </is>
      </c>
      <c r="D11" s="13" t="n"/>
      <c r="E11" s="14" t="n"/>
      <c r="F11" s="56" t="inlineStr">
        <is>
          <t>○</t>
        </is>
      </c>
    </row>
    <row r="12">
      <c r="A12" s="55" t="inlineStr">
        <is>
          <t>付加</t>
        </is>
      </c>
      <c r="B12" s="5" t="inlineStr">
        <is>
          <t>オプション課金</t>
        </is>
      </c>
      <c r="C12" s="48" t="inlineStr">
        <is>
          <t>動画追加制作・取材記事・マガジン掲載など</t>
        </is>
      </c>
      <c r="D12" s="13" t="n"/>
      <c r="E12" s="14" t="n"/>
      <c r="F12" s="56" t="inlineStr">
        <is>
          <t>○</t>
        </is>
      </c>
    </row>
    <row r="13">
      <c r="A13" s="55" t="inlineStr">
        <is>
          <t>将来</t>
        </is>
      </c>
      <c r="B13" s="5" t="inlineStr">
        <is>
          <t>SaaS利用料</t>
        </is>
      </c>
      <c r="C13" s="48" t="inlineStr">
        <is>
          <t>工務店ダッシュボードの高度機能を有料化</t>
        </is>
      </c>
      <c r="D13" s="13" t="n"/>
      <c r="E13" s="14" t="n"/>
      <c r="F13" s="56" t="inlineStr">
        <is>
          <t>△</t>
        </is>
      </c>
    </row>
    <row r="14">
      <c r="A14" s="55" t="inlineStr">
        <is>
          <t>補完</t>
        </is>
      </c>
      <c r="B14" s="5" t="inlineStr">
        <is>
          <t>隣接収益</t>
        </is>
      </c>
      <c r="C14" s="48" t="inlineStr">
        <is>
          <t>住宅ローン紹介料・建材メーカータイアップ</t>
        </is>
      </c>
      <c r="D14" s="13" t="n"/>
      <c r="E14" s="14" t="n"/>
      <c r="F14" s="56" t="inlineStr">
        <is>
          <t>△</t>
        </is>
      </c>
    </row>
    <row r="16" ht="26" customHeight="1">
      <c r="A16" s="4" t="inlineStr">
        <is>
          <t>GROWTH PRINCIPLE(成長の原則)</t>
        </is>
      </c>
      <c r="B16" s="13" t="n"/>
      <c r="C16" s="13" t="n"/>
      <c r="D16" s="13" t="n"/>
      <c r="E16" s="13" t="n"/>
      <c r="F16" s="14" t="n"/>
    </row>
    <row r="17">
      <c r="A17" s="18" t="inlineStr">
        <is>
          <t>原則①</t>
        </is>
      </c>
      <c r="B17" s="5" t="inlineStr">
        <is>
          <t>初期は導入優先</t>
        </is>
      </c>
      <c r="C17" s="48" t="inlineStr">
        <is>
          <t>利益最大化より導入数を優先する</t>
        </is>
      </c>
      <c r="D17" s="13" t="n"/>
      <c r="E17" s="13" t="n"/>
      <c r="F17" s="14" t="n"/>
    </row>
    <row r="18">
      <c r="A18" s="18" t="inlineStr">
        <is>
          <t>原則②</t>
        </is>
      </c>
      <c r="B18" s="5" t="inlineStr">
        <is>
          <t>実績の再現性を検証</t>
        </is>
      </c>
      <c r="C18" s="48" t="inlineStr">
        <is>
          <t>同じパターンで成功するかを見極める</t>
        </is>
      </c>
      <c r="D18" s="13" t="n"/>
      <c r="E18" s="13" t="n"/>
      <c r="F18" s="14" t="n"/>
    </row>
    <row r="19">
      <c r="A19" s="18" t="inlineStr">
        <is>
          <t>原則③</t>
        </is>
      </c>
      <c r="B19" s="5" t="inlineStr">
        <is>
          <t>条件を満たしたら料金改定</t>
        </is>
      </c>
      <c r="C19" s="48" t="inlineStr">
        <is>
          <t>判断トリガーに基づいて段階的に改定</t>
        </is>
      </c>
      <c r="D19" s="13" t="n"/>
      <c r="E19" s="13" t="n"/>
      <c r="F19" s="14" t="n"/>
    </row>
    <row r="20">
      <c r="A20" s="18" t="inlineStr">
        <is>
          <t>原則④</t>
        </is>
      </c>
      <c r="B20" s="5" t="inlineStr">
        <is>
          <t>先行10社は永続維持</t>
        </is>
      </c>
      <c r="C20" s="48" t="inlineStr">
        <is>
          <t>最初に信じてくれた方は必ず守る</t>
        </is>
      </c>
      <c r="D20" s="13" t="n"/>
      <c r="E20" s="13" t="n"/>
      <c r="F20" s="14" t="n"/>
    </row>
    <row r="21">
      <c r="A21" s="18" t="inlineStr">
        <is>
          <t>原則⑤</t>
        </is>
      </c>
      <c r="B21" s="5" t="inlineStr">
        <is>
          <t>長期は1枚定義だけ決める</t>
        </is>
      </c>
      <c r="C21" s="48" t="inlineStr">
        <is>
          <t>細部は市場で学びながら決める</t>
        </is>
      </c>
      <c r="D21" s="13" t="n"/>
      <c r="E21" s="13" t="n"/>
      <c r="F21" s="14" t="n"/>
    </row>
  </sheetData>
  <mergeCells count="15">
    <mergeCell ref="A16:F16"/>
    <mergeCell ref="C18:F18"/>
    <mergeCell ref="C14:E14"/>
    <mergeCell ref="C17:F17"/>
    <mergeCell ref="C11:E11"/>
    <mergeCell ref="C13:E13"/>
    <mergeCell ref="C20:F20"/>
    <mergeCell ref="A5:F6"/>
    <mergeCell ref="A8:F8"/>
    <mergeCell ref="C9:E9"/>
    <mergeCell ref="C21:F21"/>
    <mergeCell ref="A4:F4"/>
    <mergeCell ref="C19:F19"/>
    <mergeCell ref="C12:E12"/>
    <mergeCell ref="C10:E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5" customWidth="1" min="4" max="4"/>
    <col width="12" customWidth="1" min="5" max="5"/>
  </cols>
  <sheetData>
    <row r="1">
      <c r="A1" s="1" t="inlineStr">
        <is>
          <t>料金改定シナリオ</t>
        </is>
      </c>
    </row>
    <row r="2">
      <c r="A2" s="2" t="inlineStr">
        <is>
          <t>先行10社 × 新規工務店 の3段階プラン設計 / 「常に優遇」原則</t>
        </is>
      </c>
    </row>
    <row r="4" ht="30" customHeight="1">
      <c r="A4" s="18" t="inlineStr">
        <is>
          <t>⚠️ 基本原則: 先行10社は『永続フリー』ではなく『常に通常より優遇される特別パートナー』</t>
        </is>
      </c>
    </row>
    <row r="6">
      <c r="A6" s="44" t="inlineStr">
        <is>
          <t>■ 3段階プラン比較表</t>
        </is>
      </c>
    </row>
    <row r="7" ht="42" customHeight="1">
      <c r="A7" s="45" t="inlineStr">
        <is>
          <t>項目</t>
        </is>
      </c>
      <c r="B7" s="45" t="inlineStr">
        <is>
          <t>Phase 1
実績作り期
(M0-M6)</t>
        </is>
      </c>
      <c r="C7" s="45" t="inlineStr">
        <is>
          <t>Phase 2
成果確認期
(M6-M12)</t>
        </is>
      </c>
      <c r="D7" s="45" t="inlineStr">
        <is>
          <t>Phase 3
最適化期
(M12〜)</t>
        </is>
      </c>
      <c r="E7" s="45" t="inlineStr">
        <is>
          <t>新規工務店
(参考)</t>
        </is>
      </c>
    </row>
    <row r="8">
      <c r="A8" s="5" t="inlineStr">
        <is>
          <t>初期費用</t>
        </is>
      </c>
      <c r="B8" s="49" t="inlineStr">
        <is>
          <t>無料</t>
        </is>
      </c>
      <c r="C8" s="49" t="inlineStr">
        <is>
          <t>無料</t>
        </is>
      </c>
      <c r="D8" s="49" t="inlineStr">
        <is>
          <t>無料</t>
        </is>
      </c>
      <c r="E8" s="62" t="inlineStr">
        <is>
          <t>無料</t>
        </is>
      </c>
    </row>
    <row r="9">
      <c r="A9" s="5" t="inlineStr">
        <is>
          <t>月額費用</t>
        </is>
      </c>
      <c r="B9" s="49" t="inlineStr">
        <is>
          <t>無料</t>
        </is>
      </c>
      <c r="C9" s="62" t="inlineStr">
        <is>
          <t>任意</t>
        </is>
      </c>
      <c r="D9" s="63" t="inlineStr">
        <is>
          <t>通常の50%OFF</t>
        </is>
      </c>
      <c r="E9" s="62" t="inlineStr">
        <is>
          <t>通常価格</t>
        </is>
      </c>
    </row>
    <row r="10">
      <c r="A10" s="5" t="inlineStr">
        <is>
          <t>撮影費(年1本)</t>
        </is>
      </c>
      <c r="B10" s="49" t="inlineStr">
        <is>
          <t>無料</t>
        </is>
      </c>
      <c r="C10" s="49" t="inlineStr">
        <is>
          <t>無料</t>
        </is>
      </c>
      <c r="D10" s="49" t="inlineStr">
        <is>
          <t>無料</t>
        </is>
      </c>
      <c r="E10" s="62" t="inlineStr">
        <is>
          <t>有料</t>
        </is>
      </c>
    </row>
    <row r="11">
      <c r="A11" s="5" t="inlineStr">
        <is>
          <t>見学会予約</t>
        </is>
      </c>
      <c r="B11" s="62" t="inlineStr">
        <is>
          <t>¥50,000/件</t>
        </is>
      </c>
      <c r="C11" s="62" t="inlineStr">
        <is>
          <t>¥50,000/件</t>
        </is>
      </c>
      <c r="D11" s="62" t="inlineStr">
        <is>
          <t>¥30,000/件</t>
        </is>
      </c>
      <c r="E11" s="62" t="inlineStr">
        <is>
          <t>¥50,000/件</t>
        </is>
      </c>
    </row>
    <row r="12">
      <c r="A12" s="5" t="inlineStr">
        <is>
          <t>成約報酬</t>
        </is>
      </c>
      <c r="B12" s="49" t="inlineStr">
        <is>
          <t>なし</t>
        </is>
      </c>
      <c r="C12" s="62" t="inlineStr">
        <is>
          <t>1.5%(任意)</t>
        </is>
      </c>
      <c r="D12" s="62" t="inlineStr">
        <is>
          <t>1.5%(維持)</t>
        </is>
      </c>
      <c r="E12" s="62" t="inlineStr">
        <is>
          <t>3%(上限)</t>
        </is>
      </c>
    </row>
    <row r="13">
      <c r="A13" s="5" t="inlineStr">
        <is>
          <t>動画追加制作</t>
        </is>
      </c>
      <c r="B13" s="62" t="inlineStr">
        <is>
          <t>有料</t>
        </is>
      </c>
      <c r="C13" s="63" t="inlineStr">
        <is>
          <t>優遇価格</t>
        </is>
      </c>
      <c r="D13" s="63" t="inlineStr">
        <is>
          <t>10%OFF</t>
        </is>
      </c>
      <c r="E13" s="62" t="inlineStr">
        <is>
          <t>通常価格</t>
        </is>
      </c>
    </row>
    <row r="14">
      <c r="A14" s="5" t="inlineStr">
        <is>
          <t>取材記事</t>
        </is>
      </c>
      <c r="B14" s="62" t="inlineStr">
        <is>
          <t>有料</t>
        </is>
      </c>
      <c r="C14" s="63" t="inlineStr">
        <is>
          <t>優遇価格</t>
        </is>
      </c>
      <c r="D14" s="63" t="inlineStr">
        <is>
          <t>10%OFF</t>
        </is>
      </c>
      <c r="E14" s="62" t="inlineStr">
        <is>
          <t>通常価格</t>
        </is>
      </c>
    </row>
    <row r="15">
      <c r="A15" s="5" t="inlineStr">
        <is>
          <t>月刊マガジン掲載</t>
        </is>
      </c>
      <c r="B15" s="62" t="inlineStr">
        <is>
          <t>オプション</t>
        </is>
      </c>
      <c r="C15" s="63" t="inlineStr">
        <is>
          <t>優遇価格</t>
        </is>
      </c>
      <c r="D15" s="63" t="inlineStr">
        <is>
          <t>10%OFF</t>
        </is>
      </c>
      <c r="E15" s="62" t="inlineStr">
        <is>
          <t>通常価格</t>
        </is>
      </c>
    </row>
    <row r="18">
      <c r="A18" s="44" t="inlineStr">
        <is>
          <t>■ フェーズ移行トリガー(いずれかを満たせば次フェーズへご案内)</t>
        </is>
      </c>
    </row>
    <row r="19">
      <c r="A19" s="45" t="inlineStr">
        <is>
          <t>#</t>
        </is>
      </c>
      <c r="B19" s="45" t="inlineStr">
        <is>
          <t>トリガー</t>
        </is>
      </c>
      <c r="C19" s="45" t="inlineStr">
        <is>
          <t>数値基準</t>
        </is>
      </c>
      <c r="D19" s="45" t="inlineStr">
        <is>
          <t>判断タイミング</t>
        </is>
      </c>
      <c r="E19" s="45" t="inlineStr">
        <is>
          <t>責任者</t>
        </is>
      </c>
    </row>
    <row r="20">
      <c r="A20" s="16" t="inlineStr">
        <is>
          <t>1</t>
        </is>
      </c>
      <c r="B20" s="48" t="inlineStr">
        <is>
          <t>成約確認</t>
        </is>
      </c>
      <c r="C20" s="49" t="inlineStr">
        <is>
          <t>1件以上成約が確認</t>
        </is>
      </c>
      <c r="D20" s="48" t="inlineStr">
        <is>
          <t>月次</t>
        </is>
      </c>
      <c r="E20" s="48" t="inlineStr">
        <is>
          <t>代表</t>
        </is>
      </c>
    </row>
    <row r="21">
      <c r="A21" s="16" t="inlineStr">
        <is>
          <t>2</t>
        </is>
      </c>
      <c r="B21" s="48" t="inlineStr">
        <is>
          <t>予約継続率</t>
        </is>
      </c>
      <c r="C21" s="49" t="inlineStr">
        <is>
          <t>月3件以上が3ヶ月連続</t>
        </is>
      </c>
      <c r="D21" s="48" t="inlineStr">
        <is>
          <t>四半期</t>
        </is>
      </c>
      <c r="E21" s="48" t="inlineStr">
        <is>
          <t>代表</t>
        </is>
      </c>
    </row>
    <row r="22">
      <c r="A22" s="16" t="inlineStr">
        <is>
          <t>3</t>
        </is>
      </c>
      <c r="B22" s="48" t="inlineStr">
        <is>
          <t>来場率</t>
        </is>
      </c>
      <c r="C22" s="49" t="inlineStr">
        <is>
          <t>予約の70%以上が来場</t>
        </is>
      </c>
      <c r="D22" s="48" t="inlineStr">
        <is>
          <t>月次</t>
        </is>
      </c>
      <c r="E22" s="48" t="inlineStr">
        <is>
          <t>CS</t>
        </is>
      </c>
    </row>
    <row r="23">
      <c r="A23" s="16" t="inlineStr">
        <is>
          <t>4</t>
        </is>
      </c>
      <c r="B23" s="48" t="inlineStr">
        <is>
          <t>工務店の納得</t>
        </is>
      </c>
      <c r="C23" s="49" t="inlineStr">
        <is>
          <t>NPS 60+ / CS面談で確認</t>
        </is>
      </c>
      <c r="D23" s="48" t="inlineStr">
        <is>
          <t>四半期</t>
        </is>
      </c>
      <c r="E23" s="48" t="inlineStr">
        <is>
          <t>CS</t>
        </is>
      </c>
    </row>
    <row r="24">
      <c r="A24" s="16" t="inlineStr">
        <is>
          <t>5</t>
        </is>
      </c>
      <c r="B24" s="48" t="inlineStr">
        <is>
          <t>本人の希望</t>
        </is>
      </c>
      <c r="C24" s="49" t="inlineStr">
        <is>
          <t>工務店側から移行希望表明</t>
        </is>
      </c>
      <c r="D24" s="48" t="inlineStr">
        <is>
          <t>随時</t>
        </is>
      </c>
      <c r="E24" s="48" t="inlineStr">
        <is>
          <t>代表</t>
        </is>
      </c>
    </row>
    <row r="27">
      <c r="A27" s="44" t="inlineStr">
        <is>
          <t>■ 改定時の鉄則</t>
        </is>
      </c>
    </row>
    <row r="28">
      <c r="A28" s="55" t="inlineStr">
        <is>
          <t>原則①</t>
        </is>
      </c>
      <c r="B28" s="5" t="inlineStr">
        <is>
          <t>強制しない</t>
        </is>
      </c>
      <c r="C28" s="48" t="inlineStr">
        <is>
          <t>先行10社の現条件は強制変更せず、成果が出た社にのみ新プランを『提案』</t>
        </is>
      </c>
    </row>
    <row r="29">
      <c r="A29" s="55" t="inlineStr">
        <is>
          <t>原則②</t>
        </is>
      </c>
      <c r="B29" s="5" t="inlineStr">
        <is>
          <t>いつでも戻れる</t>
        </is>
      </c>
      <c r="C29" s="48" t="inlineStr">
        <is>
          <t>新プランに移行後も、工務店の希望で旧条件に戻れるオプションを用意</t>
        </is>
      </c>
    </row>
    <row r="30">
      <c r="A30" s="55" t="inlineStr">
        <is>
          <t>原則③</t>
        </is>
      </c>
      <c r="B30" s="5" t="inlineStr">
        <is>
          <t>常に優遇</t>
        </is>
      </c>
      <c r="C30" s="48" t="inlineStr">
        <is>
          <t>どのフェーズでも、先行10社は新規工務店より必ず優遇された条件</t>
        </is>
      </c>
    </row>
    <row r="31">
      <c r="A31" s="55" t="inlineStr">
        <is>
          <t>原則④</t>
        </is>
      </c>
      <c r="B31" s="5" t="inlineStr">
        <is>
          <t>書面で明記</t>
        </is>
      </c>
      <c r="C31" s="48" t="inlineStr">
        <is>
          <t>契約書に『常に通常料金の○%OFF以上を保証』と明記</t>
        </is>
      </c>
    </row>
    <row r="32">
      <c r="A32" s="55" t="inlineStr">
        <is>
          <t>原則⑤</t>
        </is>
      </c>
      <c r="B32" s="5" t="inlineStr">
        <is>
          <t>成果がない社</t>
        </is>
      </c>
      <c r="C32" s="48" t="inlineStr">
        <is>
          <t>6ヶ月経過しても予約発生していない社には改定を迫らず、現条件維持</t>
        </is>
      </c>
    </row>
    <row r="35">
      <c r="A35" s="44" t="inlineStr">
        <is>
          <t>■ 改定による売上インパクト試算(Year 2 / 先行10社のみ)</t>
        </is>
      </c>
    </row>
    <row r="36">
      <c r="A36" s="45" t="inlineStr">
        <is>
          <t>項目</t>
        </is>
      </c>
      <c r="B36" s="45" t="inlineStr">
        <is>
          <t>旧設計(永続フリー)</t>
        </is>
      </c>
      <c r="C36" s="45" t="inlineStr">
        <is>
          <t>新設計(段階改定)</t>
        </is>
      </c>
      <c r="D36" s="45" t="inlineStr">
        <is>
          <t>差額</t>
        </is>
      </c>
    </row>
    <row r="37">
      <c r="A37" s="5" t="inlineStr">
        <is>
          <t>見学会予約(月4件×10社×¥50,000)</t>
        </is>
      </c>
      <c r="B37" s="64" t="n">
        <v>24000000</v>
      </c>
      <c r="C37" s="64" t="n">
        <v>24000000</v>
      </c>
      <c r="D37" s="65" t="n">
        <v>0</v>
      </c>
    </row>
    <row r="38">
      <c r="A38" s="5" t="inlineStr">
        <is>
          <t>成約報酬1.5%(10社 月1成約平均)</t>
        </is>
      </c>
      <c r="B38" s="64" t="n">
        <v>0</v>
      </c>
      <c r="C38" s="64" t="n">
        <v>5400000</v>
      </c>
      <c r="D38" s="66" t="n">
        <v>5400000</v>
      </c>
    </row>
    <row r="39">
      <c r="A39" s="5" t="inlineStr">
        <is>
          <t>動画オプション(10社 年2本追加)</t>
        </is>
      </c>
      <c r="B39" s="64" t="n">
        <v>0</v>
      </c>
      <c r="C39" s="64" t="n">
        <v>3000000</v>
      </c>
      <c r="D39" s="66" t="n">
        <v>3000000</v>
      </c>
    </row>
    <row r="40">
      <c r="A40" s="5" t="inlineStr">
        <is>
          <t>月額プレミアム(10社の半分)</t>
        </is>
      </c>
      <c r="B40" s="64" t="n">
        <v>0</v>
      </c>
      <c r="C40" s="64" t="n">
        <v>2940000</v>
      </c>
      <c r="D40" s="66" t="n">
        <v>2940000</v>
      </c>
    </row>
    <row r="41">
      <c r="A41" s="29" t="inlineStr">
        <is>
          <t>合計</t>
        </is>
      </c>
      <c r="B41" s="67">
        <f>SUM(B37:B40)</f>
        <v/>
      </c>
      <c r="C41" s="67">
        <f>SUM(C37:C40)</f>
        <v/>
      </c>
      <c r="D41" s="68">
        <f>SUM(D37:D40)</f>
        <v/>
      </c>
    </row>
    <row r="43">
      <c r="A43" s="69" t="inlineStr">
        <is>
          <t>→ Year 2 で先行10社からの売上が +47%、追加粗利 約¥8.5M(粗利率75%想定)。1名分の人件費を吸収可能。</t>
        </is>
      </c>
    </row>
  </sheetData>
  <mergeCells count="7">
    <mergeCell ref="C28:E28"/>
    <mergeCell ref="C31:E31"/>
    <mergeCell ref="A4:G4"/>
    <mergeCell ref="A43:D43"/>
    <mergeCell ref="C29:E29"/>
    <mergeCell ref="C30:E30"/>
    <mergeCell ref="C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2026-04-11T13:22:55Z</dcterms:created>
  <dcterms:modified xmlns:dcterms="http://purl.org/dc/terms/" xmlns:xsi="http://www.w3.org/2001/XMLSchema-instance" xsi:type="dcterms:W3CDTF">2026-04-11T14:13:56Z</dcterms:modified>
</cp:coreProperties>
</file>