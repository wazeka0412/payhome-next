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・プロセス" sheetId="1" state="visible" r:id="rId1"/>
    <sheet xmlns:r="http://schemas.openxmlformats.org/officeDocument/2006/relationships" name="採択基準スコア表" sheetId="2" state="visible" r:id="rId2"/>
    <sheet xmlns:r="http://schemas.openxmlformats.org/officeDocument/2006/relationships" name="候補企業 評価" sheetId="3" state="visible" r:id="rId3"/>
    <sheet xmlns:r="http://schemas.openxmlformats.org/officeDocument/2006/relationships" name="ヒアリングシート" sheetId="4" state="visible" r:id="rId4"/>
    <sheet xmlns:r="http://schemas.openxmlformats.org/officeDocument/2006/relationships" name="エリア・タイプ配分" sheetId="5" state="visible" r:id="rId5"/>
    <sheet xmlns:r="http://schemas.openxmlformats.org/officeDocument/2006/relationships" name="採択判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color rgb="002A1700"/>
      <sz val="16"/>
    </font>
    <font>
      <name val="Yu Gothic"/>
      <i val="1"/>
      <color rgb="006B5A47"/>
      <sz val="9"/>
    </font>
    <font>
      <name val="Yu Gothic"/>
      <b val="1"/>
      <color rgb="00E8740C"/>
      <sz val="13"/>
    </font>
    <font>
      <name val="Yu Gothic"/>
      <color rgb="003D2200"/>
      <sz val="9"/>
    </font>
    <font>
      <name val="Yu Gothic"/>
      <b val="1"/>
      <color rgb="00FFFFFF"/>
      <sz val="10"/>
    </font>
    <font>
      <name val="Yu Gothic"/>
      <b val="1"/>
      <color rgb="002A1700"/>
      <sz val="10"/>
    </font>
    <font>
      <name val="Yu Gothic"/>
      <b val="1"/>
      <color rgb="00FFFFFF"/>
      <sz val="11"/>
    </font>
    <font>
      <name val="Yu Gothic"/>
      <b val="1"/>
      <color rgb="00E8740C"/>
      <sz val="11"/>
    </font>
    <font>
      <name val="Yu Gothic"/>
      <b val="1"/>
      <color rgb="00FFFFFF"/>
      <sz val="8"/>
    </font>
    <font>
      <name val="Yu Gothic"/>
      <b val="1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2A1700"/>
      </patternFill>
    </fill>
    <fill>
      <patternFill patternType="solid">
        <fgColor rgb="00E8740C"/>
      </patternFill>
    </fill>
    <fill>
      <patternFill patternType="solid">
        <fgColor rgb="00FFF8F0"/>
      </patternFill>
    </fill>
    <fill>
      <patternFill patternType="solid">
        <fgColor rgb="00FFE8D1"/>
      </patternFill>
    </fill>
    <fill>
      <patternFill patternType="solid">
        <fgColor rgb="00F5F0E8"/>
      </patternFill>
    </fill>
    <fill>
      <patternFill patternType="solid">
        <fgColor rgb="00FFEBEE"/>
      </patternFill>
    </fill>
  </fills>
  <borders count="5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  <border>
      <left style="thin">
        <color rgb="00D0C8B8"/>
      </left>
      <right/>
      <top/>
      <bottom/>
      <diagonal/>
    </border>
    <border>
      <left style="thin">
        <color rgb="00D0C8B8"/>
      </left>
      <right style="thin">
        <color rgb="00D0C8B8"/>
      </right>
      <top/>
      <bottom/>
      <diagonal/>
    </border>
    <border>
      <left style="thin">
        <color rgb="00D0C8B8"/>
      </left>
      <right style="thin">
        <color rgb="00D0C8B8"/>
      </right>
      <top/>
      <bottom style="thin">
        <color rgb="00D0C8B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先行10社 採択基準表</t>
        </is>
      </c>
    </row>
    <row r="2">
      <c r="A2" s="2" t="inlineStr">
        <is>
          <t>ぺいほーむ ローンチパートナー 選定ガイド / CONFIDENTIAL</t>
        </is>
      </c>
    </row>
    <row r="4">
      <c r="A4" s="3" t="inlineStr">
        <is>
          <t>■ 採択の目的</t>
        </is>
      </c>
    </row>
    <row r="5">
      <c r="A5" s="4" t="inlineStr">
        <is>
          <t>1. リリース直後から継続的に見学会予約を生み出せる「量の基盤」を確保する</t>
        </is>
      </c>
    </row>
    <row r="6">
      <c r="A6" s="4" t="inlineStr">
        <is>
          <t>2. ぺいほーむのブランドと相性の良い「質の基盤」を確保する</t>
        </is>
      </c>
    </row>
    <row r="7">
      <c r="A7" s="4" t="inlineStr">
        <is>
          <t>3. 将来の成功事例・紹介リファレンスとして機能する長期パートナーを選ぶ</t>
        </is>
      </c>
    </row>
    <row r="8">
      <c r="A8" s="4" t="inlineStr">
        <is>
          <t>4. エリア・価格帯・強みが多様な10社を採択し、ユーザーへの提案幅を広げる</t>
        </is>
      </c>
    </row>
    <row r="9">
      <c r="A9" s="4" t="inlineStr">
        <is>
          <t>5. 最初の10社との関係が、今後20-50社規模に拡張する際の「文化の基準」となる</t>
        </is>
      </c>
    </row>
    <row r="12">
      <c r="A12" s="3" t="inlineStr">
        <is>
          <t>■ 採択プロセス (6ステップ)</t>
        </is>
      </c>
    </row>
    <row r="13">
      <c r="A13" s="5" t="inlineStr">
        <is>
          <t>ステップ</t>
        </is>
      </c>
      <c r="B13" s="5" t="inlineStr">
        <is>
          <t>内容</t>
        </is>
      </c>
      <c r="C13" s="5" t="inlineStr">
        <is>
          <t>所要期間</t>
        </is>
      </c>
      <c r="D13" s="5" t="inlineStr">
        <is>
          <t>判定者</t>
        </is>
      </c>
      <c r="E13" s="5" t="inlineStr">
        <is>
          <t>成果物</t>
        </is>
      </c>
    </row>
    <row r="14">
      <c r="A14" s="6" t="inlineStr">
        <is>
          <t>STEP 1</t>
        </is>
      </c>
      <c r="B14" s="7" t="inlineStr">
        <is>
          <t>候補リスト作成 (既存ネットワーク + 公開情報)</t>
        </is>
      </c>
      <c r="C14" s="8" t="inlineStr">
        <is>
          <t>1週間</t>
        </is>
      </c>
      <c r="D14" s="8" t="inlineStr">
        <is>
          <t>代表</t>
        </is>
      </c>
      <c r="E14" s="7" t="inlineStr">
        <is>
          <t>候補20-30社</t>
        </is>
      </c>
    </row>
    <row r="15">
      <c r="A15" s="6" t="inlineStr">
        <is>
          <t>STEP 2</t>
        </is>
      </c>
      <c r="B15" s="7" t="inlineStr">
        <is>
          <t>一次スクリーニング (基礎要件の充足確認)</t>
        </is>
      </c>
      <c r="C15" s="8" t="inlineStr">
        <is>
          <t>1週間</t>
        </is>
      </c>
      <c r="D15" s="8" t="inlineStr">
        <is>
          <t>代表</t>
        </is>
      </c>
      <c r="E15" s="7" t="inlineStr">
        <is>
          <t>候補15-20社</t>
        </is>
      </c>
    </row>
    <row r="16">
      <c r="A16" s="6" t="inlineStr">
        <is>
          <t>STEP 3</t>
        </is>
      </c>
      <c r="B16" s="7" t="inlineStr">
        <is>
          <t>初回訪問・ヒアリング実施</t>
        </is>
      </c>
      <c r="C16" s="8" t="inlineStr">
        <is>
          <t>2-3週間</t>
        </is>
      </c>
      <c r="D16" s="8" t="inlineStr">
        <is>
          <t>代表 + 制作</t>
        </is>
      </c>
      <c r="E16" s="7" t="inlineStr">
        <is>
          <t>ヒアリング票</t>
        </is>
      </c>
    </row>
    <row r="17">
      <c r="A17" s="6" t="inlineStr">
        <is>
          <t>STEP 4</t>
        </is>
      </c>
      <c r="B17" s="7" t="inlineStr">
        <is>
          <t>採択基準スコアリング + エリア配分調整</t>
        </is>
      </c>
      <c r="C17" s="8" t="inlineStr">
        <is>
          <t>1週間</t>
        </is>
      </c>
      <c r="D17" s="8" t="inlineStr">
        <is>
          <t>経営チーム</t>
        </is>
      </c>
      <c r="E17" s="7" t="inlineStr">
        <is>
          <t>評価スコア表</t>
        </is>
      </c>
    </row>
    <row r="18">
      <c r="A18" s="6" t="inlineStr">
        <is>
          <t>STEP 5</t>
        </is>
      </c>
      <c r="B18" s="7" t="inlineStr">
        <is>
          <t>最終面談 + 条件合意 (契約書説明)</t>
        </is>
      </c>
      <c r="C18" s="8" t="inlineStr">
        <is>
          <t>2週間</t>
        </is>
      </c>
      <c r="D18" s="8" t="inlineStr">
        <is>
          <t>代表</t>
        </is>
      </c>
      <c r="E18" s="7" t="inlineStr">
        <is>
          <t>内定通知</t>
        </is>
      </c>
    </row>
    <row r="19">
      <c r="A19" s="6" t="inlineStr">
        <is>
          <t>STEP 6</t>
        </is>
      </c>
      <c r="B19" s="7" t="inlineStr">
        <is>
          <t>契約締結 + キックオフMTG</t>
        </is>
      </c>
      <c r="C19" s="8" t="inlineStr">
        <is>
          <t>1週間</t>
        </is>
      </c>
      <c r="D19" s="8" t="inlineStr">
        <is>
          <t>代表 + CS</t>
        </is>
      </c>
      <c r="E19" s="7" t="inlineStr">
        <is>
          <t>契約書10通</t>
        </is>
      </c>
    </row>
    <row r="22">
      <c r="A22" s="3" t="inlineStr">
        <is>
          <t>■ 採択の5つの大原則</t>
        </is>
      </c>
    </row>
    <row r="23">
      <c r="A23" s="9" t="inlineStr">
        <is>
          <t>原則①</t>
        </is>
      </c>
      <c r="B23" s="10" t="inlineStr">
        <is>
          <t>エリア重複を避ける</t>
        </is>
      </c>
      <c r="C23" s="7" t="inlineStr">
        <is>
          <t>同一市区町村から複数採択しない。10社で九州全域をカバーする配分</t>
        </is>
      </c>
    </row>
    <row r="24">
      <c r="A24" s="9" t="inlineStr">
        <is>
          <t>原則②</t>
        </is>
      </c>
      <c r="B24" s="10" t="inlineStr">
        <is>
          <t>価格帯の多様性を確保</t>
        </is>
      </c>
      <c r="C24" s="7" t="inlineStr">
        <is>
          <t>ローコスト〜プレミアムまで各価格帯に2-3社配置</t>
        </is>
      </c>
    </row>
    <row r="25">
      <c r="A25" s="9" t="inlineStr">
        <is>
          <t>原則③</t>
        </is>
      </c>
      <c r="B25" s="10" t="inlineStr">
        <is>
          <t>強みの多様性を確保</t>
        </is>
      </c>
      <c r="C25" s="7" t="inlineStr">
        <is>
          <t>平屋/ZEH/自然素材/子育て/シニア/二世帯など異なる強みを組み合わせる</t>
        </is>
      </c>
    </row>
    <row r="26">
      <c r="A26" s="9" t="inlineStr">
        <is>
          <t>原則④</t>
        </is>
      </c>
      <c r="B26" s="10" t="inlineStr">
        <is>
          <t>最低限の棟数を担保</t>
        </is>
      </c>
      <c r="C26" s="7" t="inlineStr">
        <is>
          <t>年5棟以上を目安(月1件以上の見学会予約が発生する規模)</t>
        </is>
      </c>
    </row>
    <row r="27">
      <c r="A27" s="9" t="inlineStr">
        <is>
          <t>原則⑤</t>
        </is>
      </c>
      <c r="B27" s="10" t="inlineStr">
        <is>
          <t>長期パートナー適性</t>
        </is>
      </c>
      <c r="C27" s="7" t="inlineStr">
        <is>
          <t>10年以上続ける覚悟と、ぺいほーむの理念への共感があること</t>
        </is>
      </c>
    </row>
  </sheetData>
  <mergeCells count="10">
    <mergeCell ref="C27:E27"/>
    <mergeCell ref="A7:E7"/>
    <mergeCell ref="C23:E23"/>
    <mergeCell ref="A5:E5"/>
    <mergeCell ref="C26:E26"/>
    <mergeCell ref="A8:E8"/>
    <mergeCell ref="A6:E6"/>
    <mergeCell ref="A9:E9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採択基準スコア表</t>
        </is>
      </c>
    </row>
    <row r="2">
      <c r="A2" s="2" t="inlineStr">
        <is>
          <t>6カテゴリ × 20項目 / 満点100点 / 合格ライン70点以上</t>
        </is>
      </c>
    </row>
    <row r="4">
      <c r="A4" s="3" t="inlineStr">
        <is>
          <t>スコアリング方式</t>
        </is>
      </c>
    </row>
    <row r="5">
      <c r="A5" s="2" t="inlineStr">
        <is>
          <t>各項目は0〜5点で評価(5=優秀、4=良、3=標準、2=やや不足、1=不足、0=該当なし)。カテゴリごとに配点比率があります。</t>
        </is>
      </c>
    </row>
    <row r="7" ht="32" customHeight="1">
      <c r="A7" s="5" t="inlineStr">
        <is>
          <t>カテゴリ</t>
        </is>
      </c>
      <c r="B7" s="5" t="inlineStr">
        <is>
          <t>評価項目</t>
        </is>
      </c>
      <c r="C7" s="5" t="inlineStr">
        <is>
          <t>配点</t>
        </is>
      </c>
      <c r="D7" s="5" t="inlineStr">
        <is>
          <t>着眼点</t>
        </is>
      </c>
      <c r="E7" s="5" t="inlineStr">
        <is>
          <t>優秀(5点)の例</t>
        </is>
      </c>
      <c r="F7" s="5" t="inlineStr">
        <is>
          <t>不足(1-2点)の例</t>
        </is>
      </c>
    </row>
    <row r="8" ht="42" customHeight="1">
      <c r="A8" s="11" t="inlineStr">
        <is>
          <t>① 棟数・規模
[25点]</t>
        </is>
      </c>
      <c r="B8" s="7" t="inlineStr">
        <is>
          <t>年間施工棟数</t>
        </is>
      </c>
      <c r="C8" s="12" t="n">
        <v>5</v>
      </c>
      <c r="D8" s="13" t="inlineStr">
        <is>
          <t>継続的な予約対応が可能か</t>
        </is>
      </c>
      <c r="E8" s="13" t="inlineStr">
        <is>
          <t>年20棟以上</t>
        </is>
      </c>
      <c r="F8" s="13" t="inlineStr">
        <is>
          <t>年3棟以下</t>
        </is>
      </c>
    </row>
    <row r="9" ht="42" customHeight="1">
      <c r="A9" s="14" t="n"/>
      <c r="B9" s="7" t="inlineStr">
        <is>
          <t>月間問合せ処理能力</t>
        </is>
      </c>
      <c r="C9" s="12" t="n">
        <v>5</v>
      </c>
      <c r="D9" s="13" t="inlineStr">
        <is>
          <t>リードを無駄にしない体制</t>
        </is>
      </c>
      <c r="E9" s="13" t="inlineStr">
        <is>
          <t>専任営業1名以上 / CRM運用</t>
        </is>
      </c>
      <c r="F9" s="13" t="inlineStr">
        <is>
          <t>社長が1人で全て対応</t>
        </is>
      </c>
    </row>
    <row r="10" ht="42" customHeight="1">
      <c r="A10" s="14" t="n"/>
      <c r="B10" s="7" t="inlineStr">
        <is>
          <t>実績・創業年数</t>
        </is>
      </c>
      <c r="C10" s="12" t="n">
        <v>5</v>
      </c>
      <c r="D10" s="13" t="inlineStr">
        <is>
          <t>事業の継続性・信頼性</t>
        </is>
      </c>
      <c r="E10" s="13" t="inlineStr">
        <is>
          <t>創業20年以上 / 累計200棟+</t>
        </is>
      </c>
      <c r="F10" s="13" t="inlineStr">
        <is>
          <t>創業2年以下</t>
        </is>
      </c>
    </row>
    <row r="11" ht="42" customHeight="1">
      <c r="A11" s="14" t="n"/>
      <c r="B11" s="7" t="inlineStr">
        <is>
          <t>見学会の開催頻度</t>
        </is>
      </c>
      <c r="C11" s="12" t="n">
        <v>5</v>
      </c>
      <c r="D11" s="13" t="inlineStr">
        <is>
          <t>定常的な見学会提供ができるか</t>
        </is>
      </c>
      <c r="E11" s="13" t="inlineStr">
        <is>
          <t>月2回以上 / モデルハウス保有</t>
        </is>
      </c>
      <c r="F11" s="13" t="inlineStr">
        <is>
          <t>不定期 / 施主邸のみ</t>
        </is>
      </c>
    </row>
    <row r="12" ht="42" customHeight="1">
      <c r="A12" s="14" t="n"/>
      <c r="B12" s="7" t="inlineStr">
        <is>
          <t>財務基盤</t>
        </is>
      </c>
      <c r="C12" s="12" t="n">
        <v>5</v>
      </c>
      <c r="D12" s="13" t="inlineStr">
        <is>
          <t>自己資本比率・借入依存度</t>
        </is>
      </c>
      <c r="E12" s="13" t="inlineStr">
        <is>
          <t>自己資本比率30%以上</t>
        </is>
      </c>
      <c r="F12" s="13" t="inlineStr">
        <is>
          <t>資金繰り逼迫の兆候</t>
        </is>
      </c>
    </row>
    <row r="13" ht="42" customHeight="1">
      <c r="A13" s="11" t="inlineStr">
        <is>
          <t>② 特化・差別化
[20点]</t>
        </is>
      </c>
      <c r="B13" s="7" t="inlineStr">
        <is>
          <t>得意分野の明確さ</t>
        </is>
      </c>
      <c r="C13" s="12" t="n">
        <v>5</v>
      </c>
      <c r="D13" s="13" t="inlineStr">
        <is>
          <t>「何に強いか」が言語化できる</t>
        </is>
      </c>
      <c r="E13" s="13" t="inlineStr">
        <is>
          <t>平屋年60棟 / ZEH専門 / 無垢材</t>
        </is>
      </c>
      <c r="F13" s="13" t="inlineStr">
        <is>
          <t>何でもやる工務店</t>
        </is>
      </c>
    </row>
    <row r="14" ht="42" customHeight="1">
      <c r="A14" s="14" t="n"/>
      <c r="B14" s="7" t="inlineStr">
        <is>
          <t>デザイン・ブランド</t>
        </is>
      </c>
      <c r="C14" s="12" t="n">
        <v>5</v>
      </c>
      <c r="D14" s="13" t="inlineStr">
        <is>
          <t>写真・動画映えするか</t>
        </is>
      </c>
      <c r="E14" s="13" t="inlineStr">
        <is>
          <t>専属デザイナー / 独自テイスト</t>
        </is>
      </c>
      <c r="F14" s="13" t="inlineStr">
        <is>
          <t>一般的な注文住宅デザイン</t>
        </is>
      </c>
    </row>
    <row r="15" ht="42" customHeight="1">
      <c r="A15" s="14" t="n"/>
      <c r="B15" s="7" t="inlineStr">
        <is>
          <t>性能・技術 (UA値等)</t>
        </is>
      </c>
      <c r="C15" s="12" t="n">
        <v>5</v>
      </c>
      <c r="D15" s="13" t="inlineStr">
        <is>
          <t>客観指標で示せる技術力</t>
        </is>
      </c>
      <c r="E15" s="13" t="inlineStr">
        <is>
          <t>UA値0.46 / 耐震等級3</t>
        </is>
      </c>
      <c r="F15" s="13" t="inlineStr">
        <is>
          <t>性能数値を出せない</t>
        </is>
      </c>
    </row>
    <row r="16" ht="42" customHeight="1">
      <c r="A16" s="14" t="n"/>
      <c r="B16" s="7" t="inlineStr">
        <is>
          <t>エリア認知度</t>
        </is>
      </c>
      <c r="C16" s="12" t="n">
        <v>5</v>
      </c>
      <c r="D16" s="13" t="inlineStr">
        <is>
          <t>地元での評判・紹介率</t>
        </is>
      </c>
      <c r="E16" s="13" t="inlineStr">
        <is>
          <t>地元紹介率30%以上</t>
        </is>
      </c>
      <c r="F16" s="13" t="inlineStr">
        <is>
          <t>新規立ち上げ / 認知低</t>
        </is>
      </c>
    </row>
    <row r="17" ht="42" customHeight="1">
      <c r="A17" s="11" t="inlineStr">
        <is>
          <t>③ 価格帯バランス
[10点]</t>
        </is>
      </c>
      <c r="B17" s="7" t="inlineStr">
        <is>
          <t>坪単価明示</t>
        </is>
      </c>
      <c r="C17" s="12" t="n">
        <v>5</v>
      </c>
      <c r="D17" s="13" t="inlineStr">
        <is>
          <t>ユーザー向け透明性</t>
        </is>
      </c>
      <c r="E17" s="13" t="inlineStr">
        <is>
          <t>坪65-85万と明示</t>
        </is>
      </c>
      <c r="F17" s="13" t="inlineStr">
        <is>
          <t>問合せ後しか価格出さない</t>
        </is>
      </c>
    </row>
    <row r="18" ht="42" customHeight="1">
      <c r="A18" s="14" t="n"/>
      <c r="B18" s="7" t="inlineStr">
        <is>
          <t>価格帯の多様性寄与</t>
        </is>
      </c>
      <c r="C18" s="12" t="n">
        <v>5</v>
      </c>
      <c r="D18" s="13" t="inlineStr">
        <is>
          <t>全10社の配分最適化</t>
        </is>
      </c>
      <c r="E18" s="13" t="inlineStr">
        <is>
          <t>既存枠の空き価格帯</t>
        </is>
      </c>
      <c r="F18" s="13" t="inlineStr">
        <is>
          <t>既に同価格帯3社以上在籍</t>
        </is>
      </c>
    </row>
    <row r="19" ht="42" customHeight="1">
      <c r="A19" s="11" t="inlineStr">
        <is>
          <t>④ 発信・協力姿勢
[15点]</t>
        </is>
      </c>
      <c r="B19" s="7" t="inlineStr">
        <is>
          <t>動画撮影への協力</t>
        </is>
      </c>
      <c r="C19" s="12" t="n">
        <v>5</v>
      </c>
      <c r="D19" s="13" t="inlineStr">
        <is>
          <t>ルームツアー撮影OKか</t>
        </is>
      </c>
      <c r="E19" s="13" t="inlineStr">
        <is>
          <t>過去撮影経験あり / 積極的</t>
        </is>
      </c>
      <c r="F19" s="13" t="inlineStr">
        <is>
          <t>撮影不可・消極的</t>
        </is>
      </c>
    </row>
    <row r="20" ht="42" customHeight="1">
      <c r="A20" s="14" t="n"/>
      <c r="B20" s="7" t="inlineStr">
        <is>
          <t>取材・インタビュー対応</t>
        </is>
      </c>
      <c r="C20" s="12" t="n">
        <v>5</v>
      </c>
      <c r="D20" s="13" t="inlineStr">
        <is>
          <t>記事化に協力的か</t>
        </is>
      </c>
      <c r="E20" s="13" t="inlineStr">
        <is>
          <t>既に複数メディア経験</t>
        </is>
      </c>
      <c r="F20" s="13" t="inlineStr">
        <is>
          <t>取材経験ゼロ</t>
        </is>
      </c>
    </row>
    <row r="21" ht="42" customHeight="1">
      <c r="A21" s="14" t="n"/>
      <c r="B21" s="7" t="inlineStr">
        <is>
          <t>ダッシュボード活用意欲</t>
        </is>
      </c>
      <c r="C21" s="12" t="n">
        <v>5</v>
      </c>
      <c r="D21" s="13" t="inlineStr">
        <is>
          <t>日常的にログインしてくれるか</t>
        </is>
      </c>
      <c r="E21" s="13" t="inlineStr">
        <is>
          <t>既存の CRM を社員が使いこなす</t>
        </is>
      </c>
      <c r="F21" s="13" t="inlineStr">
        <is>
          <t>PC作業が苦手</t>
        </is>
      </c>
    </row>
    <row r="22" ht="42" customHeight="1">
      <c r="A22" s="11" t="inlineStr">
        <is>
          <t>⑤ 理念共感
[15点]</t>
        </is>
      </c>
      <c r="B22" s="7" t="inlineStr">
        <is>
          <t>しつこい営業をしない</t>
        </is>
      </c>
      <c r="C22" s="12" t="n">
        <v>5</v>
      </c>
      <c r="D22" s="13" t="inlineStr">
        <is>
          <t>ユーザー満足を優先する姿勢</t>
        </is>
      </c>
      <c r="E22" s="13" t="inlineStr">
        <is>
          <t>連絡頻度を顧客に合わせる</t>
        </is>
      </c>
      <c r="F22" s="13" t="inlineStr">
        <is>
          <t>即日電話・即日訪問が基本</t>
        </is>
      </c>
    </row>
    <row r="23" ht="42" customHeight="1">
      <c r="A23" s="14" t="n"/>
      <c r="B23" s="7" t="inlineStr">
        <is>
          <t>ぺいほーむへの共感</t>
        </is>
      </c>
      <c r="C23" s="12" t="n">
        <v>5</v>
      </c>
      <c r="D23" s="13" t="inlineStr">
        <is>
          <t>ビジョンへの賛同</t>
        </is>
      </c>
      <c r="E23" s="13" t="inlineStr">
        <is>
          <t>初回MTGで理念に強く共感</t>
        </is>
      </c>
      <c r="F23" s="13" t="inlineStr">
        <is>
          <t>料金にしか興味がない</t>
        </is>
      </c>
    </row>
    <row r="24" ht="42" customHeight="1">
      <c r="A24" s="14" t="n"/>
      <c r="B24" s="7" t="inlineStr">
        <is>
          <t>長期取引の意志</t>
        </is>
      </c>
      <c r="C24" s="12" t="n">
        <v>5</v>
      </c>
      <c r="D24" s="13" t="inlineStr">
        <is>
          <t>10年以上続ける覚悟</t>
        </is>
      </c>
      <c r="E24" s="13" t="inlineStr">
        <is>
          <t>中期事業計画に組込可能</t>
        </is>
      </c>
      <c r="F24" s="13" t="inlineStr">
        <is>
          <t>様子見・短期志向</t>
        </is>
      </c>
    </row>
    <row r="25" ht="42" customHeight="1">
      <c r="A25" s="11" t="inlineStr">
        <is>
          <t>⑥ リスク要素
[15点]</t>
        </is>
      </c>
      <c r="B25" s="7" t="inlineStr">
        <is>
          <t>コンプライアンス</t>
        </is>
      </c>
      <c r="C25" s="12" t="n">
        <v>5</v>
      </c>
      <c r="D25" s="13" t="inlineStr">
        <is>
          <t>法令遵守・トラブル有無</t>
        </is>
      </c>
      <c r="E25" s="13" t="inlineStr">
        <is>
          <t>クレーム歴なし / 業界団体加盟</t>
        </is>
      </c>
      <c r="F25" s="13" t="inlineStr">
        <is>
          <t>消費者センター案件あり</t>
        </is>
      </c>
    </row>
    <row r="26" ht="42" customHeight="1">
      <c r="A26" s="14" t="n"/>
      <c r="B26" s="7" t="inlineStr">
        <is>
          <t>財務リスク</t>
        </is>
      </c>
      <c r="C26" s="12" t="n">
        <v>5</v>
      </c>
      <c r="D26" s="13" t="inlineStr">
        <is>
          <t>倒産・信用リスク</t>
        </is>
      </c>
      <c r="E26" s="13" t="inlineStr">
        <is>
          <t>帝国データバンク評点B以上</t>
        </is>
      </c>
      <c r="F26" s="13" t="inlineStr">
        <is>
          <t>評点D以下</t>
        </is>
      </c>
    </row>
    <row r="27" ht="42" customHeight="1">
      <c r="A27" s="14" t="n"/>
      <c r="B27" s="7" t="inlineStr">
        <is>
          <t>経営陣の信頼性</t>
        </is>
      </c>
      <c r="C27" s="12" t="n">
        <v>5</v>
      </c>
      <c r="D27" s="13" t="inlineStr">
        <is>
          <t>代表のスタンス・人柄</t>
        </is>
      </c>
      <c r="E27" s="13" t="inlineStr">
        <is>
          <t>透明性・誠実性が感じられる</t>
        </is>
      </c>
      <c r="F27" s="13" t="inlineStr">
        <is>
          <t>発言と行動の乖離</t>
        </is>
      </c>
    </row>
    <row r="29">
      <c r="A29" s="9" t="inlineStr">
        <is>
          <t>合格ライン</t>
        </is>
      </c>
      <c r="B29" s="15" t="inlineStr">
        <is>
          <t>100点満点中 70点以上 / ただし「カテゴリ①棟数・規模」で15点未満は原則不採択</t>
        </is>
      </c>
    </row>
  </sheetData>
  <mergeCells count="2">
    <mergeCell ref="B29:F29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1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10" customWidth="1" min="25" max="25"/>
    <col width="14" customWidth="1" min="26" max="26"/>
  </cols>
  <sheetData>
    <row r="1">
      <c r="A1" s="1" t="inlineStr">
        <is>
          <t>候補企業 評価テーブル</t>
        </is>
      </c>
    </row>
    <row r="2">
      <c r="A2" s="2" t="inlineStr">
        <is>
          <t>20社までの評価を1シートで比較 / カテゴリ別スコアと合計点</t>
        </is>
      </c>
    </row>
    <row r="4">
      <c r="A4" s="3" t="inlineStr">
        <is>
          <t>使い方</t>
        </is>
      </c>
    </row>
    <row r="5">
      <c r="A5" s="2" t="inlineStr">
        <is>
          <t>B列以降の黄色セルに数値を入れると、カテゴリ小計と合計点が自動計算されます。合格ラインは70点以上。</t>
        </is>
      </c>
    </row>
    <row r="7" ht="28" customHeight="1">
      <c r="A7" s="5" t="inlineStr">
        <is>
          <t>#</t>
        </is>
      </c>
      <c r="B7" s="5" t="inlineStr">
        <is>
          <t>会社名</t>
        </is>
      </c>
      <c r="C7" s="5" t="inlineStr">
        <is>
          <t>エリア</t>
        </is>
      </c>
      <c r="D7" s="5" t="inlineStr">
        <is>
          <t>得意分野</t>
        </is>
      </c>
      <c r="E7" s="5" t="inlineStr">
        <is>
          <t>① 棟数 (25)</t>
        </is>
      </c>
      <c r="J7" s="5" t="inlineStr">
        <is>
          <t>② 特化 (20)</t>
        </is>
      </c>
      <c r="N7" s="5" t="inlineStr">
        <is>
          <t>③ 価格 (10)</t>
        </is>
      </c>
      <c r="P7" s="5" t="inlineStr">
        <is>
          <t>④ 発信 (15)</t>
        </is>
      </c>
      <c r="S7" s="5" t="inlineStr">
        <is>
          <t>⑤ 理念 (15)</t>
        </is>
      </c>
      <c r="V7" s="5" t="inlineStr">
        <is>
          <t>⑥ リスク (15)</t>
        </is>
      </c>
      <c r="Y7" s="5" t="inlineStr">
        <is>
          <t>合計</t>
        </is>
      </c>
      <c r="Z7" s="5" t="inlineStr">
        <is>
          <t>判定</t>
        </is>
      </c>
    </row>
    <row r="8" ht="20" customHeight="1">
      <c r="A8" s="16" t="n"/>
      <c r="B8" s="16" t="n"/>
      <c r="C8" s="16" t="n"/>
      <c r="D8" s="16" t="n"/>
      <c r="E8" s="17" t="inlineStr">
        <is>
          <t>項1</t>
        </is>
      </c>
      <c r="F8" s="17" t="inlineStr">
        <is>
          <t>項2</t>
        </is>
      </c>
      <c r="G8" s="17" t="inlineStr">
        <is>
          <t>項3</t>
        </is>
      </c>
      <c r="H8" s="17" t="inlineStr">
        <is>
          <t>項4</t>
        </is>
      </c>
      <c r="I8" s="17" t="inlineStr">
        <is>
          <t>項5</t>
        </is>
      </c>
      <c r="J8" s="17" t="inlineStr">
        <is>
          <t>項1</t>
        </is>
      </c>
      <c r="K8" s="17" t="inlineStr">
        <is>
          <t>項2</t>
        </is>
      </c>
      <c r="L8" s="17" t="inlineStr">
        <is>
          <t>項3</t>
        </is>
      </c>
      <c r="M8" s="17" t="inlineStr">
        <is>
          <t>項4</t>
        </is>
      </c>
      <c r="N8" s="17" t="inlineStr">
        <is>
          <t>項1</t>
        </is>
      </c>
      <c r="O8" s="17" t="inlineStr">
        <is>
          <t>項2</t>
        </is>
      </c>
      <c r="P8" s="17" t="inlineStr">
        <is>
          <t>項1</t>
        </is>
      </c>
      <c r="Q8" s="17" t="inlineStr">
        <is>
          <t>項2</t>
        </is>
      </c>
      <c r="R8" s="17" t="inlineStr">
        <is>
          <t>項3</t>
        </is>
      </c>
      <c r="S8" s="17" t="inlineStr">
        <is>
          <t>項1</t>
        </is>
      </c>
      <c r="T8" s="17" t="inlineStr">
        <is>
          <t>項2</t>
        </is>
      </c>
      <c r="U8" s="17" t="inlineStr">
        <is>
          <t>項3</t>
        </is>
      </c>
      <c r="V8" s="17" t="inlineStr">
        <is>
          <t>項1</t>
        </is>
      </c>
      <c r="W8" s="17" t="inlineStr">
        <is>
          <t>項2</t>
        </is>
      </c>
      <c r="X8" s="17" t="inlineStr">
        <is>
          <t>項3</t>
        </is>
      </c>
      <c r="Y8" s="16" t="n"/>
      <c r="Z8" s="16" t="n"/>
    </row>
    <row r="9">
      <c r="A9" s="8" t="inlineStr">
        <is>
          <t>1</t>
        </is>
      </c>
      <c r="B9" s="7" t="inlineStr">
        <is>
          <t>サンプル工務店A</t>
        </is>
      </c>
      <c r="C9" s="8" t="inlineStr">
        <is>
          <t>鹿児島市</t>
        </is>
      </c>
      <c r="D9" s="7" t="inlineStr">
        <is>
          <t>平屋/ZEH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9">
        <f>SUM(E9:X9)</f>
        <v/>
      </c>
      <c r="Z9" s="12">
        <f>IF(Y9="","",IF(Y9&gt;=70,"◎採択候補",IF(Y9&gt;=60,"△要協議","×不採択")))</f>
        <v/>
      </c>
    </row>
    <row r="10">
      <c r="A10" s="8" t="inlineStr">
        <is>
          <t>2</t>
        </is>
      </c>
      <c r="B10" s="7" t="inlineStr">
        <is>
          <t>サンプル工務店B</t>
        </is>
      </c>
      <c r="C10" s="8" t="inlineStr">
        <is>
          <t>熊本市</t>
        </is>
      </c>
      <c r="D10" s="7" t="inlineStr">
        <is>
          <t>自然素材/子育て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>
        <f>SUM(E10:X10)</f>
        <v/>
      </c>
      <c r="Z10" s="12">
        <f>IF(Y10="","",IF(Y10&gt;=70,"◎採択候補",IF(Y10&gt;=60,"△要協議","×不採択")))</f>
        <v/>
      </c>
    </row>
    <row r="11">
      <c r="A11" s="8" t="inlineStr">
        <is>
          <t>3</t>
        </is>
      </c>
      <c r="B11" s="7" t="inlineStr"/>
      <c r="C11" s="8" t="inlineStr"/>
      <c r="D11" s="7" t="inlineStr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9">
        <f>SUM(E11:X11)</f>
        <v/>
      </c>
      <c r="Z11" s="12">
        <f>IF(Y11="","",IF(Y11&gt;=70,"◎採択候補",IF(Y11&gt;=60,"△要協議","×不採択")))</f>
        <v/>
      </c>
    </row>
    <row r="12">
      <c r="A12" s="8" t="inlineStr">
        <is>
          <t>4</t>
        </is>
      </c>
      <c r="B12" s="7" t="inlineStr"/>
      <c r="C12" s="8" t="inlineStr"/>
      <c r="D12" s="7" t="inlineStr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9">
        <f>SUM(E12:X12)</f>
        <v/>
      </c>
      <c r="Z12" s="12">
        <f>IF(Y12="","",IF(Y12&gt;=70,"◎採択候補",IF(Y12&gt;=60,"△要協議","×不採択")))</f>
        <v/>
      </c>
    </row>
    <row r="13">
      <c r="A13" s="8" t="inlineStr">
        <is>
          <t>5</t>
        </is>
      </c>
      <c r="B13" s="7" t="inlineStr"/>
      <c r="C13" s="8" t="inlineStr"/>
      <c r="D13" s="7" t="inlineStr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9">
        <f>SUM(E13:X13)</f>
        <v/>
      </c>
      <c r="Z13" s="12">
        <f>IF(Y13="","",IF(Y13&gt;=70,"◎採択候補",IF(Y13&gt;=60,"△要協議","×不採択")))</f>
        <v/>
      </c>
    </row>
    <row r="14">
      <c r="A14" s="8" t="inlineStr">
        <is>
          <t>6</t>
        </is>
      </c>
      <c r="B14" s="7" t="inlineStr"/>
      <c r="C14" s="8" t="inlineStr"/>
      <c r="D14" s="7" t="inlineStr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9">
        <f>SUM(E14:X14)</f>
        <v/>
      </c>
      <c r="Z14" s="12">
        <f>IF(Y14="","",IF(Y14&gt;=70,"◎採択候補",IF(Y14&gt;=60,"△要協議","×不採択")))</f>
        <v/>
      </c>
    </row>
    <row r="15">
      <c r="A15" s="8" t="inlineStr">
        <is>
          <t>7</t>
        </is>
      </c>
      <c r="B15" s="7" t="inlineStr"/>
      <c r="C15" s="8" t="inlineStr"/>
      <c r="D15" s="7" t="inlineStr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9">
        <f>SUM(E15:X15)</f>
        <v/>
      </c>
      <c r="Z15" s="12">
        <f>IF(Y15="","",IF(Y15&gt;=70,"◎採択候補",IF(Y15&gt;=60,"△要協議","×不採択")))</f>
        <v/>
      </c>
    </row>
    <row r="16">
      <c r="A16" s="8" t="inlineStr">
        <is>
          <t>8</t>
        </is>
      </c>
      <c r="B16" s="7" t="inlineStr"/>
      <c r="C16" s="8" t="inlineStr"/>
      <c r="D16" s="7" t="inlineStr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9">
        <f>SUM(E16:X16)</f>
        <v/>
      </c>
      <c r="Z16" s="12">
        <f>IF(Y16="","",IF(Y16&gt;=70,"◎採択候補",IF(Y16&gt;=60,"△要協議","×不採択")))</f>
        <v/>
      </c>
    </row>
    <row r="17">
      <c r="A17" s="8" t="inlineStr">
        <is>
          <t>9</t>
        </is>
      </c>
      <c r="B17" s="7" t="inlineStr"/>
      <c r="C17" s="8" t="inlineStr"/>
      <c r="D17" s="7" t="inlineStr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9">
        <f>SUM(E17:X17)</f>
        <v/>
      </c>
      <c r="Z17" s="12">
        <f>IF(Y17="","",IF(Y17&gt;=70,"◎採択候補",IF(Y17&gt;=60,"△要協議","×不採択")))</f>
        <v/>
      </c>
    </row>
    <row r="18">
      <c r="A18" s="8" t="inlineStr">
        <is>
          <t>10</t>
        </is>
      </c>
      <c r="B18" s="7" t="inlineStr"/>
      <c r="C18" s="8" t="inlineStr"/>
      <c r="D18" s="7" t="inlineStr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9">
        <f>SUM(E18:X18)</f>
        <v/>
      </c>
      <c r="Z18" s="12">
        <f>IF(Y18="","",IF(Y18&gt;=70,"◎採択候補",IF(Y18&gt;=60,"△要協議","×不採択")))</f>
        <v/>
      </c>
    </row>
    <row r="19">
      <c r="A19" s="8" t="inlineStr">
        <is>
          <t>11</t>
        </is>
      </c>
      <c r="B19" s="7" t="inlineStr"/>
      <c r="C19" s="8" t="inlineStr"/>
      <c r="D19" s="7" t="inlineStr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>
        <f>SUM(E19:X19)</f>
        <v/>
      </c>
      <c r="Z19" s="12">
        <f>IF(Y19="","",IF(Y19&gt;=70,"◎採択候補",IF(Y19&gt;=60,"△要協議","×不採択")))</f>
        <v/>
      </c>
    </row>
    <row r="20">
      <c r="A20" s="8" t="inlineStr">
        <is>
          <t>12</t>
        </is>
      </c>
      <c r="B20" s="7" t="inlineStr"/>
      <c r="C20" s="8" t="inlineStr"/>
      <c r="D20" s="7" t="inlineStr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9">
        <f>SUM(E20:X20)</f>
        <v/>
      </c>
      <c r="Z20" s="12">
        <f>IF(Y20="","",IF(Y20&gt;=70,"◎採択候補",IF(Y20&gt;=60,"△要協議","×不採択")))</f>
        <v/>
      </c>
    </row>
    <row r="21">
      <c r="A21" s="8" t="inlineStr">
        <is>
          <t>13</t>
        </is>
      </c>
      <c r="B21" s="7" t="inlineStr"/>
      <c r="C21" s="8" t="inlineStr"/>
      <c r="D21" s="7" t="inlineStr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9">
        <f>SUM(E21:X21)</f>
        <v/>
      </c>
      <c r="Z21" s="12">
        <f>IF(Y21="","",IF(Y21&gt;=70,"◎採択候補",IF(Y21&gt;=60,"△要協議","×不採択")))</f>
        <v/>
      </c>
    </row>
    <row r="22">
      <c r="A22" s="8" t="inlineStr">
        <is>
          <t>14</t>
        </is>
      </c>
      <c r="B22" s="7" t="inlineStr"/>
      <c r="C22" s="8" t="inlineStr"/>
      <c r="D22" s="7" t="inlineStr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>
        <f>SUM(E22:X22)</f>
        <v/>
      </c>
      <c r="Z22" s="12">
        <f>IF(Y22="","",IF(Y22&gt;=70,"◎採択候補",IF(Y22&gt;=60,"△要協議","×不採択")))</f>
        <v/>
      </c>
    </row>
    <row r="23">
      <c r="A23" s="8" t="inlineStr">
        <is>
          <t>15</t>
        </is>
      </c>
      <c r="B23" s="7" t="inlineStr"/>
      <c r="C23" s="8" t="inlineStr"/>
      <c r="D23" s="7" t="inlineStr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9">
        <f>SUM(E23:X23)</f>
        <v/>
      </c>
      <c r="Z23" s="12">
        <f>IF(Y23="","",IF(Y23&gt;=70,"◎採択候補",IF(Y23&gt;=60,"△要協議","×不採択")))</f>
        <v/>
      </c>
    </row>
    <row r="24">
      <c r="A24" s="8" t="inlineStr">
        <is>
          <t>16</t>
        </is>
      </c>
      <c r="B24" s="7" t="inlineStr"/>
      <c r="C24" s="8" t="inlineStr"/>
      <c r="D24" s="7" t="inlineStr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9">
        <f>SUM(E24:X24)</f>
        <v/>
      </c>
      <c r="Z24" s="12">
        <f>IF(Y24="","",IF(Y24&gt;=70,"◎採択候補",IF(Y24&gt;=60,"△要協議","×不採択")))</f>
        <v/>
      </c>
    </row>
    <row r="25">
      <c r="A25" s="8" t="inlineStr">
        <is>
          <t>17</t>
        </is>
      </c>
      <c r="B25" s="7" t="inlineStr"/>
      <c r="C25" s="8" t="inlineStr"/>
      <c r="D25" s="7" t="inlineStr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9">
        <f>SUM(E25:X25)</f>
        <v/>
      </c>
      <c r="Z25" s="12">
        <f>IF(Y25="","",IF(Y25&gt;=70,"◎採択候補",IF(Y25&gt;=60,"△要協議","×不採択")))</f>
        <v/>
      </c>
    </row>
    <row r="26">
      <c r="A26" s="8" t="inlineStr">
        <is>
          <t>18</t>
        </is>
      </c>
      <c r="B26" s="7" t="inlineStr"/>
      <c r="C26" s="8" t="inlineStr"/>
      <c r="D26" s="7" t="inlineStr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9">
        <f>SUM(E26:X26)</f>
        <v/>
      </c>
      <c r="Z26" s="12">
        <f>IF(Y26="","",IF(Y26&gt;=70,"◎採択候補",IF(Y26&gt;=60,"△要協議","×不採択")))</f>
        <v/>
      </c>
    </row>
    <row r="27">
      <c r="A27" s="8" t="inlineStr">
        <is>
          <t>19</t>
        </is>
      </c>
      <c r="B27" s="7" t="inlineStr"/>
      <c r="C27" s="8" t="inlineStr"/>
      <c r="D27" s="7" t="inlineStr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9">
        <f>SUM(E27:X27)</f>
        <v/>
      </c>
      <c r="Z27" s="12">
        <f>IF(Y27="","",IF(Y27&gt;=70,"◎採択候補",IF(Y27&gt;=60,"△要協議","×不採択")))</f>
        <v/>
      </c>
    </row>
    <row r="28">
      <c r="A28" s="8" t="inlineStr">
        <is>
          <t>20</t>
        </is>
      </c>
      <c r="B28" s="7" t="inlineStr"/>
      <c r="C28" s="8" t="inlineStr"/>
      <c r="D28" s="7" t="inlineStr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9">
        <f>SUM(E28:X28)</f>
        <v/>
      </c>
      <c r="Z28" s="12">
        <f>IF(Y28="","",IF(Y28&gt;=70,"◎採択候補",IF(Y28&gt;=60,"△要協議","×不採択")))</f>
        <v/>
      </c>
    </row>
  </sheetData>
  <mergeCells count="13">
    <mergeCell ref="P7:R7"/>
    <mergeCell ref="S7:U7"/>
    <mergeCell ref="E7:I7"/>
    <mergeCell ref="N7:O7"/>
    <mergeCell ref="A5:L5"/>
    <mergeCell ref="C7:C8"/>
    <mergeCell ref="A7:A8"/>
    <mergeCell ref="D7:D8"/>
    <mergeCell ref="B7:B8"/>
    <mergeCell ref="Y7:Y8"/>
    <mergeCell ref="Z7:Z8"/>
    <mergeCell ref="J7:M7"/>
    <mergeCell ref="V7:X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5" customWidth="1" min="3" max="3"/>
    <col width="10" customWidth="1" min="4" max="4"/>
  </cols>
  <sheetData>
    <row r="1">
      <c r="A1" s="1" t="inlineStr">
        <is>
          <t>工務店 ヒアリングシート (厳正版)</t>
        </is>
      </c>
    </row>
    <row r="2">
      <c r="A2" s="2" t="inlineStr">
        <is>
          <t>初回訪問時に使用 / 全6セクション・42項目 / 所要60-90分</t>
        </is>
      </c>
    </row>
    <row r="4">
      <c r="A4" s="3" t="inlineStr">
        <is>
          <t>■ 記入要領</t>
        </is>
      </c>
    </row>
    <row r="5">
      <c r="A5" s="2" t="inlineStr">
        <is>
          <t>• 回答欄は自由記述+5段階評価の2種類。評価は面談後にぺいほーむ側で記入します。</t>
        </is>
      </c>
    </row>
    <row r="6">
      <c r="A6" s="2" t="inlineStr">
        <is>
          <t>• 「⚠️重要」印の項目は必須。回答拒否の場合は採択不可とします。</t>
        </is>
      </c>
    </row>
    <row r="7">
      <c r="A7" s="2" t="inlineStr">
        <is>
          <t>• 数字で回答可能な質問は「過去3期分の実数値」を正確にお答えください。</t>
        </is>
      </c>
    </row>
    <row r="8">
      <c r="A8" s="2" t="inlineStr">
        <is>
          <t>• 不明な項目は「不明」と明記してください。後日の追加ヒアリングで補完します。</t>
        </is>
      </c>
    </row>
    <row r="11">
      <c r="A11" s="5" t="inlineStr">
        <is>
          <t>#</t>
        </is>
      </c>
      <c r="B11" s="5" t="inlineStr">
        <is>
          <t>質問</t>
        </is>
      </c>
      <c r="C11" s="5" t="inlineStr">
        <is>
          <t>回答欄 (記述)</t>
        </is>
      </c>
      <c r="D11" s="5" t="inlineStr">
        <is>
          <t>評価(1-5)</t>
        </is>
      </c>
    </row>
    <row r="12">
      <c r="A12" s="20" t="inlineStr">
        <is>
          <t>【Section 1】会社基本情報</t>
        </is>
      </c>
    </row>
    <row r="13" ht="28" customHeight="1">
      <c r="A13" s="21" t="inlineStr">
        <is>
          <t>Q1-1</t>
        </is>
      </c>
      <c r="B13" s="22" t="inlineStr">
        <is>
          <t>会社名・代表者名・本社所在地・設立年月日を教えてください</t>
        </is>
      </c>
      <c r="C13" s="13" t="n"/>
      <c r="D13" s="12" t="n"/>
    </row>
    <row r="14" ht="28" customHeight="1">
      <c r="A14" s="21" t="inlineStr">
        <is>
          <t>Q1-2</t>
        </is>
      </c>
      <c r="B14" s="22" t="inlineStr">
        <is>
          <t>資本金・直近3期の売上高・従業員数を教えてください ⚠️重要</t>
        </is>
      </c>
      <c r="C14" s="13" t="n"/>
      <c r="D14" s="12" t="n"/>
    </row>
    <row r="15" ht="28" customHeight="1">
      <c r="A15" s="21" t="inlineStr">
        <is>
          <t>Q1-3</t>
        </is>
      </c>
      <c r="B15" s="22" t="inlineStr">
        <is>
          <t>自己資本比率・借入金額を教えてください ⚠️重要</t>
        </is>
      </c>
      <c r="C15" s="13" t="n"/>
      <c r="D15" s="12" t="n"/>
    </row>
    <row r="16" ht="28" customHeight="1">
      <c r="A16" s="21" t="inlineStr">
        <is>
          <t>Q1-4</t>
        </is>
      </c>
      <c r="B16" s="22" t="inlineStr">
        <is>
          <t>過去5年以内の建築確認取消・行政処分・裁判記録の有無 ⚠️重要</t>
        </is>
      </c>
      <c r="C16" s="13" t="n"/>
      <c r="D16" s="12" t="n"/>
    </row>
    <row r="17" ht="28" customHeight="1">
      <c r="A17" s="21" t="inlineStr">
        <is>
          <t>Q1-5</t>
        </is>
      </c>
      <c r="B17" s="13" t="inlineStr">
        <is>
          <t>帝国データバンク or 東京商工リサーチの評点をご存知ですか</t>
        </is>
      </c>
      <c r="C17" s="13" t="n"/>
      <c r="D17" s="12" t="n"/>
    </row>
    <row r="18">
      <c r="A18" s="20" t="inlineStr">
        <is>
          <t>【Section 2】事業規模・運営体制</t>
        </is>
      </c>
    </row>
    <row r="19" ht="28" customHeight="1">
      <c r="A19" s="21" t="inlineStr">
        <is>
          <t>Q2-1</t>
        </is>
      </c>
      <c r="B19" s="22" t="inlineStr">
        <is>
          <t>直近3期の年間施工棟数を教えてください (戸建・リフォーム別) ⚠️重要</t>
        </is>
      </c>
      <c r="C19" s="13" t="n"/>
      <c r="D19" s="12" t="n"/>
    </row>
    <row r="20" ht="28" customHeight="1">
      <c r="A20" s="21" t="inlineStr">
        <is>
          <t>Q2-2</t>
        </is>
      </c>
      <c r="B20" s="13" t="inlineStr">
        <is>
          <t>月間の問い合わせ件数はどの程度ですか (ポータル経由・自社HP経由別)</t>
        </is>
      </c>
      <c r="C20" s="13" t="n"/>
      <c r="D20" s="12" t="n"/>
    </row>
    <row r="21" ht="28" customHeight="1">
      <c r="A21" s="21" t="inlineStr">
        <is>
          <t>Q2-3</t>
        </is>
      </c>
      <c r="B21" s="13" t="inlineStr">
        <is>
          <t>直近の来場→成約転換率はおおよそ何%ですか</t>
        </is>
      </c>
      <c r="C21" s="13" t="n"/>
      <c r="D21" s="12" t="n"/>
    </row>
    <row r="22" ht="28" customHeight="1">
      <c r="A22" s="21" t="inlineStr">
        <is>
          <t>Q2-4</t>
        </is>
      </c>
      <c r="B22" s="13" t="inlineStr">
        <is>
          <t>営業担当は何名いますか。社長自らが商談に入りますか</t>
        </is>
      </c>
      <c r="C22" s="13" t="n"/>
      <c r="D22" s="12" t="n"/>
    </row>
    <row r="23" ht="28" customHeight="1">
      <c r="A23" s="21" t="inlineStr">
        <is>
          <t>Q2-5</t>
        </is>
      </c>
      <c r="B23" s="13" t="inlineStr">
        <is>
          <t>見学会・イベントの開催頻度と、1回あたりの平均集客数</t>
        </is>
      </c>
      <c r="C23" s="13" t="n"/>
      <c r="D23" s="12" t="n"/>
    </row>
    <row r="24" ht="28" customHeight="1">
      <c r="A24" s="21" t="inlineStr">
        <is>
          <t>Q2-6</t>
        </is>
      </c>
      <c r="B24" s="13" t="inlineStr">
        <is>
          <t>モデルハウス・展示場の有無と、見学可能な完成物件数</t>
        </is>
      </c>
      <c r="C24" s="13" t="n"/>
      <c r="D24" s="12" t="n"/>
    </row>
    <row r="25" ht="28" customHeight="1">
      <c r="A25" s="21" t="inlineStr">
        <is>
          <t>Q2-7</t>
        </is>
      </c>
      <c r="B25" s="13" t="inlineStr">
        <is>
          <t>現在使用している CRM・顧客管理ツールは何ですか</t>
        </is>
      </c>
      <c r="C25" s="13" t="n"/>
      <c r="D25" s="12" t="n"/>
    </row>
    <row r="26">
      <c r="A26" s="20" t="inlineStr">
        <is>
          <t>【Section 3】強み・差別化ポイント</t>
        </is>
      </c>
    </row>
    <row r="27" ht="28" customHeight="1">
      <c r="A27" s="21" t="inlineStr">
        <is>
          <t>Q3-1</t>
        </is>
      </c>
      <c r="B27" s="22" t="inlineStr">
        <is>
          <t>御社の最大の強みは何ですか (3つ以内で具体的に)</t>
        </is>
      </c>
      <c r="C27" s="13" t="n"/>
      <c r="D27" s="12" t="n"/>
    </row>
    <row r="28" ht="28" customHeight="1">
      <c r="A28" s="21" t="inlineStr">
        <is>
          <t>Q3-2</t>
        </is>
      </c>
      <c r="B28" s="22" t="inlineStr">
        <is>
          <t>競合工務店との違いはどこにあると思いますか</t>
        </is>
      </c>
      <c r="C28" s="13" t="n"/>
      <c r="D28" s="12" t="n"/>
    </row>
    <row r="29" ht="28" customHeight="1">
      <c r="A29" s="21" t="inlineStr">
        <is>
          <t>Q3-3</t>
        </is>
      </c>
      <c r="B29" s="13" t="inlineStr">
        <is>
          <t>得意な家のタイプ (平屋/2階建/3階建/二世帯/etc) と比率</t>
        </is>
      </c>
      <c r="C29" s="13" t="n"/>
      <c r="D29" s="12" t="n"/>
    </row>
    <row r="30" ht="28" customHeight="1">
      <c r="A30" s="21" t="inlineStr">
        <is>
          <t>Q3-4</t>
        </is>
      </c>
      <c r="B30" s="22" t="inlineStr">
        <is>
          <t>標準仕様のUA値・耐震等級・構造材はどのようなものですか ⚠️重要</t>
        </is>
      </c>
      <c r="C30" s="13" t="n"/>
      <c r="D30" s="12" t="n"/>
    </row>
    <row r="31" ht="28" customHeight="1">
      <c r="A31" s="21" t="inlineStr">
        <is>
          <t>Q3-5</t>
        </is>
      </c>
      <c r="B31" s="13" t="inlineStr">
        <is>
          <t>ZEH対応率 / 長期優良住宅対応率はどの程度ですか</t>
        </is>
      </c>
      <c r="C31" s="13" t="n"/>
      <c r="D31" s="12" t="n"/>
    </row>
    <row r="32" ht="28" customHeight="1">
      <c r="A32" s="21" t="inlineStr">
        <is>
          <t>Q3-6</t>
        </is>
      </c>
      <c r="B32" s="13" t="inlineStr">
        <is>
          <t>過去1年の施工事例で「代表作」と呼べる物件を3件教えてください</t>
        </is>
      </c>
      <c r="C32" s="13" t="n"/>
      <c r="D32" s="12" t="n"/>
    </row>
    <row r="33" ht="28" customHeight="1">
      <c r="A33" s="21" t="inlineStr">
        <is>
          <t>Q3-7</t>
        </is>
      </c>
      <c r="B33" s="22" t="inlineStr">
        <is>
          <t>お客様からよく言われる「選んだ理由」は何ですか</t>
        </is>
      </c>
      <c r="C33" s="13" t="n"/>
      <c r="D33" s="12" t="n"/>
    </row>
    <row r="34">
      <c r="A34" s="20" t="inlineStr">
        <is>
          <t>【Section 4】価格・コスト構造</t>
        </is>
      </c>
    </row>
    <row r="35" ht="28" customHeight="1">
      <c r="A35" s="21" t="inlineStr">
        <is>
          <t>Q4-1</t>
        </is>
      </c>
      <c r="B35" s="22" t="inlineStr">
        <is>
          <t>本体工事の坪単価レンジを教えてください (最頻値・最小・最大) ⚠️重要</t>
        </is>
      </c>
      <c r="C35" s="13" t="n"/>
      <c r="D35" s="12" t="n"/>
    </row>
    <row r="36" ht="28" customHeight="1">
      <c r="A36" s="21" t="inlineStr">
        <is>
          <t>Q4-2</t>
        </is>
      </c>
      <c r="B36" s="13" t="inlineStr">
        <is>
          <t>標準仕様での総工事費 (付帯含む) の目安はいくらですか</t>
        </is>
      </c>
      <c r="C36" s="13" t="n"/>
      <c r="D36" s="12" t="n"/>
    </row>
    <row r="37" ht="28" customHeight="1">
      <c r="A37" s="21" t="inlineStr">
        <is>
          <t>Q4-3</t>
        </is>
      </c>
      <c r="B37" s="22" t="inlineStr">
        <is>
          <t>直近の平均契約金額 (土地別・総額別) を教えてください ⚠️重要</t>
        </is>
      </c>
      <c r="C37" s="13" t="n"/>
      <c r="D37" s="12" t="n"/>
    </row>
    <row r="38" ht="28" customHeight="1">
      <c r="A38" s="21" t="inlineStr">
        <is>
          <t>Q4-4</t>
        </is>
      </c>
      <c r="B38" s="13" t="inlineStr">
        <is>
          <t>粗利率の目安はどの程度ですか (公開可能な範囲で)</t>
        </is>
      </c>
      <c r="C38" s="13" t="n"/>
      <c r="D38" s="12" t="n"/>
    </row>
    <row r="39" ht="28" customHeight="1">
      <c r="A39" s="21" t="inlineStr">
        <is>
          <t>Q4-5</t>
        </is>
      </c>
      <c r="B39" s="13" t="inlineStr">
        <is>
          <t>集客にかけている広告宣伝費は月平均いくらですか</t>
        </is>
      </c>
      <c r="C39" s="13" t="n"/>
      <c r="D39" s="12" t="n"/>
    </row>
    <row r="40" ht="28" customHeight="1">
      <c r="A40" s="21" t="inlineStr">
        <is>
          <t>Q4-6</t>
        </is>
      </c>
      <c r="B40" s="13" t="inlineStr">
        <is>
          <t>既存のポータルサイトに支払っている料金は月いくらですか (SUUMO/HOME'S等)</t>
        </is>
      </c>
      <c r="C40" s="13" t="n"/>
      <c r="D40" s="12" t="n"/>
    </row>
    <row r="41">
      <c r="A41" s="20" t="inlineStr">
        <is>
          <t>【Section 5】営業・顧客対応</t>
        </is>
      </c>
    </row>
    <row r="42" ht="28" customHeight="1">
      <c r="A42" s="21" t="inlineStr">
        <is>
          <t>Q5-1</t>
        </is>
      </c>
      <c r="B42" s="22" t="inlineStr">
        <is>
          <t>お客様からの初回問い合わせに対する、返信タイミングの社内ルールは? ⚠️重要</t>
        </is>
      </c>
      <c r="C42" s="13" t="n"/>
      <c r="D42" s="12" t="n"/>
    </row>
    <row r="43" ht="28" customHeight="1">
      <c r="A43" s="21" t="inlineStr">
        <is>
          <t>Q5-2</t>
        </is>
      </c>
      <c r="B43" s="22" t="inlineStr">
        <is>
          <t>「しつこい営業」と言われないために工夫していることは何ですか</t>
        </is>
      </c>
      <c r="C43" s="13" t="n"/>
      <c r="D43" s="12" t="n"/>
    </row>
    <row r="44" ht="28" customHeight="1">
      <c r="A44" s="21" t="inlineStr">
        <is>
          <t>Q5-3</t>
        </is>
      </c>
      <c r="B44" s="13" t="inlineStr">
        <is>
          <t>契約に至らなかったお客様への追客は何回・どのタイミングで行いますか</t>
        </is>
      </c>
      <c r="C44" s="13" t="n"/>
      <c r="D44" s="12" t="n"/>
    </row>
    <row r="45" ht="28" customHeight="1">
      <c r="A45" s="21" t="inlineStr">
        <is>
          <t>Q5-4</t>
        </is>
      </c>
      <c r="B45" s="13" t="inlineStr">
        <is>
          <t>ご成約後のアフターフォロー体制について教えてください</t>
        </is>
      </c>
      <c r="C45" s="13" t="n"/>
      <c r="D45" s="12" t="n"/>
    </row>
    <row r="46" ht="28" customHeight="1">
      <c r="A46" s="21" t="inlineStr">
        <is>
          <t>Q5-5</t>
        </is>
      </c>
      <c r="B46" s="22" t="inlineStr">
        <is>
          <t>お客様からのクレーム対応事例 (1件で構いません)</t>
        </is>
      </c>
      <c r="C46" s="13" t="n"/>
      <c r="D46" s="12" t="n"/>
    </row>
    <row r="47" ht="28" customHeight="1">
      <c r="A47" s="21" t="inlineStr">
        <is>
          <t>Q5-6</t>
        </is>
      </c>
      <c r="B47" s="13" t="inlineStr">
        <is>
          <t>過去のNPS (顧客満足度) 調査の有無と結果</t>
        </is>
      </c>
      <c r="C47" s="13" t="n"/>
      <c r="D47" s="12" t="n"/>
    </row>
    <row r="48">
      <c r="A48" s="20" t="inlineStr">
        <is>
          <t>【Section 6】ぺいほーむとの協業</t>
        </is>
      </c>
    </row>
    <row r="49" ht="28" customHeight="1">
      <c r="A49" s="21" t="inlineStr">
        <is>
          <t>Q6-1</t>
        </is>
      </c>
      <c r="B49" s="22" t="inlineStr">
        <is>
          <t>御社がぺいほーむに期待することは何ですか</t>
        </is>
      </c>
      <c r="C49" s="13" t="n"/>
      <c r="D49" s="12" t="n"/>
    </row>
    <row r="50" ht="28" customHeight="1">
      <c r="A50" s="21" t="inlineStr">
        <is>
          <t>Q6-2</t>
        </is>
      </c>
      <c r="B50" s="22" t="inlineStr">
        <is>
          <t>動画撮影 (ルームツアー等) への協力可否と、社内の体制</t>
        </is>
      </c>
      <c r="C50" s="13" t="n"/>
      <c r="D50" s="12" t="n"/>
    </row>
    <row r="51" ht="28" customHeight="1">
      <c r="A51" s="21" t="inlineStr">
        <is>
          <t>Q6-3</t>
        </is>
      </c>
      <c r="B51" s="13" t="inlineStr">
        <is>
          <t>取材・インタビューへの対応は可能ですか</t>
        </is>
      </c>
      <c r="C51" s="13" t="n"/>
      <c r="D51" s="12" t="n"/>
    </row>
    <row r="52" ht="28" customHeight="1">
      <c r="A52" s="21" t="inlineStr">
        <is>
          <t>Q6-4</t>
        </is>
      </c>
      <c r="B52" s="13" t="inlineStr">
        <is>
          <t>ぺいほーむのダッシュボードを日常的に使う主担当者はどなたですか</t>
        </is>
      </c>
      <c r="C52" s="13" t="n"/>
      <c r="D52" s="12" t="n"/>
    </row>
    <row r="53" ht="28" customHeight="1">
      <c r="A53" s="21" t="inlineStr">
        <is>
          <t>Q6-5</t>
        </is>
      </c>
      <c r="B53" s="22" t="inlineStr">
        <is>
          <t>月1-2件の見学会予約が発生した場合、対応体制は十分ですか ⚠️重要</t>
        </is>
      </c>
      <c r="C53" s="13" t="n"/>
      <c r="D53" s="12" t="n"/>
    </row>
    <row r="54" ht="28" customHeight="1">
      <c r="A54" s="21" t="inlineStr">
        <is>
          <t>Q6-6</t>
        </is>
      </c>
      <c r="B54" s="22" t="inlineStr">
        <is>
          <t>5年後・10年後の御社の姿をどう描いていますか</t>
        </is>
      </c>
      <c r="C54" s="13" t="n"/>
      <c r="D54" s="12" t="n"/>
    </row>
    <row r="55" ht="28" customHeight="1">
      <c r="A55" s="21" t="inlineStr">
        <is>
          <t>Q6-7</t>
        </is>
      </c>
      <c r="B55" s="22" t="inlineStr">
        <is>
          <t>ぺいほーむの理念 (ミスマッチゼロ) に共感いただけますか。なぜそう思いますか</t>
        </is>
      </c>
      <c r="C55" s="13" t="n"/>
      <c r="D55" s="12" t="n"/>
    </row>
    <row r="56" ht="28" customHeight="1">
      <c r="A56" s="21" t="inlineStr">
        <is>
          <t>Q6-8</t>
        </is>
      </c>
      <c r="B56" s="13" t="inlineStr">
        <is>
          <t>もし他社ポータルと併用される場合、それぞれの役割分担はどうしますか</t>
        </is>
      </c>
      <c r="C56" s="13" t="n"/>
      <c r="D56" s="12" t="n"/>
    </row>
    <row r="57" ht="28" customHeight="1">
      <c r="A57" s="21" t="inlineStr">
        <is>
          <t>Q6-9</t>
        </is>
      </c>
      <c r="B57" s="22" t="inlineStr">
        <is>
          <t>成約時 紹介料3%上限モデルへの率直なご意見</t>
        </is>
      </c>
      <c r="C57" s="13" t="n"/>
      <c r="D57" s="12" t="n"/>
    </row>
    <row r="58" ht="28" customHeight="1">
      <c r="A58" s="21" t="inlineStr">
        <is>
          <t>Q6-10</t>
        </is>
      </c>
      <c r="B58" s="22" t="inlineStr">
        <is>
          <t>見学会予約¥50,000 / 件という単価は、妥当だと感じますか</t>
        </is>
      </c>
      <c r="C58" s="13" t="n"/>
      <c r="D58" s="12" t="n"/>
    </row>
  </sheetData>
  <mergeCells count="10">
    <mergeCell ref="A5:D5"/>
    <mergeCell ref="A18:D18"/>
    <mergeCell ref="A8:D8"/>
    <mergeCell ref="A6:D6"/>
    <mergeCell ref="A34:D34"/>
    <mergeCell ref="A12:D12"/>
    <mergeCell ref="A48:D48"/>
    <mergeCell ref="A26:D26"/>
    <mergeCell ref="A7:D7"/>
    <mergeCell ref="A41:D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30" customWidth="1" min="4" max="4"/>
  </cols>
  <sheetData>
    <row r="1">
      <c r="A1" s="1" t="inlineStr">
        <is>
          <t>エリア・タイプ配分ガイド</t>
        </is>
      </c>
    </row>
    <row r="2">
      <c r="A2" s="2" t="inlineStr">
        <is>
          <t>10社の最適配分 (九州全域カバー / 多様な強み / 価格帯バランス)</t>
        </is>
      </c>
    </row>
    <row r="4">
      <c r="A4" s="3" t="inlineStr">
        <is>
          <t>■ エリア配分 目標</t>
        </is>
      </c>
    </row>
    <row r="5">
      <c r="A5" s="5" t="inlineStr">
        <is>
          <t>都道府県</t>
        </is>
      </c>
      <c r="B5" s="5" t="inlineStr">
        <is>
          <t>目標社数</t>
        </is>
      </c>
      <c r="C5" s="5" t="inlineStr">
        <is>
          <t>優先エリア</t>
        </is>
      </c>
      <c r="D5" s="5" t="inlineStr">
        <is>
          <t>備考</t>
        </is>
      </c>
    </row>
    <row r="6">
      <c r="A6" s="10" t="inlineStr">
        <is>
          <t>鹿児島県</t>
        </is>
      </c>
      <c r="B6" s="12" t="n">
        <v>3</v>
      </c>
      <c r="C6" s="7" t="inlineStr">
        <is>
          <t>鹿児島市 / 霧島市 / 姶良市</t>
        </is>
      </c>
      <c r="D6" s="7" t="inlineStr">
        <is>
          <t>本社エリア、最優先</t>
        </is>
      </c>
    </row>
    <row r="7">
      <c r="A7" s="10" t="inlineStr">
        <is>
          <t>福岡県</t>
        </is>
      </c>
      <c r="B7" s="12" t="n">
        <v>2</v>
      </c>
      <c r="C7" s="7" t="inlineStr">
        <is>
          <t>福岡市 / 久留米市</t>
        </is>
      </c>
      <c r="D7" s="7" t="inlineStr">
        <is>
          <t>九州最大市場</t>
        </is>
      </c>
    </row>
    <row r="8">
      <c r="A8" s="10" t="inlineStr">
        <is>
          <t>熊本県</t>
        </is>
      </c>
      <c r="B8" s="12" t="n">
        <v>2</v>
      </c>
      <c r="C8" s="7" t="inlineStr">
        <is>
          <t>熊本市 / 八代市</t>
        </is>
      </c>
      <c r="D8" s="7" t="inlineStr">
        <is>
          <t>震災復興需要</t>
        </is>
      </c>
    </row>
    <row r="9">
      <c r="A9" s="10" t="inlineStr">
        <is>
          <t>宮崎県</t>
        </is>
      </c>
      <c r="B9" s="12" t="n">
        <v>1</v>
      </c>
      <c r="C9" s="7" t="inlineStr">
        <is>
          <t>宮崎市</t>
        </is>
      </c>
      <c r="D9" s="7" t="inlineStr">
        <is>
          <t>平屋需要大</t>
        </is>
      </c>
    </row>
    <row r="10">
      <c r="A10" s="10" t="inlineStr">
        <is>
          <t>大分県</t>
        </is>
      </c>
      <c r="B10" s="12" t="n">
        <v>1</v>
      </c>
      <c r="C10" s="7" t="inlineStr">
        <is>
          <t>大分市</t>
        </is>
      </c>
      <c r="D10" s="7" t="inlineStr">
        <is>
          <t>温泉地需要</t>
        </is>
      </c>
    </row>
    <row r="11">
      <c r="A11" s="10" t="inlineStr">
        <is>
          <t>長崎県</t>
        </is>
      </c>
      <c r="B11" s="12" t="n">
        <v>1</v>
      </c>
      <c r="C11" s="7" t="inlineStr">
        <is>
          <t>長崎市</t>
        </is>
      </c>
      <c r="D11" s="7" t="inlineStr"/>
    </row>
    <row r="12">
      <c r="A12" s="23" t="inlineStr">
        <is>
          <t>合計</t>
        </is>
      </c>
      <c r="B12" s="9" t="n">
        <v>10</v>
      </c>
      <c r="C12" s="7" t="inlineStr"/>
      <c r="D12" s="7" t="inlineStr">
        <is>
          <t>全7県をカバー、佐賀は将来候補</t>
        </is>
      </c>
    </row>
    <row r="15">
      <c r="A15" s="3" t="inlineStr">
        <is>
          <t>■ タイプ・規模配分</t>
        </is>
      </c>
    </row>
    <row r="16">
      <c r="A16" s="5" t="inlineStr">
        <is>
          <t>タイプ</t>
        </is>
      </c>
      <c r="B16" s="5" t="inlineStr">
        <is>
          <t>目標社数</t>
        </is>
      </c>
      <c r="C16" s="5" t="inlineStr">
        <is>
          <t>特徴</t>
        </is>
      </c>
      <c r="D16" s="5" t="inlineStr">
        <is>
          <t>選定理由</t>
        </is>
      </c>
    </row>
    <row r="17">
      <c r="A17" s="10" t="inlineStr">
        <is>
          <t>A. 大規模工務店 (年30棟+)</t>
        </is>
      </c>
      <c r="B17" s="12" t="n">
        <v>2</v>
      </c>
      <c r="C17" s="7" t="inlineStr">
        <is>
          <t>月間予約処理力が高い</t>
        </is>
      </c>
      <c r="D17" s="7" t="inlineStr">
        <is>
          <t>安定的な予約受容量を確保するため</t>
        </is>
      </c>
    </row>
    <row r="18">
      <c r="A18" s="10" t="inlineStr">
        <is>
          <t>B. 中堅工務店 (年10-30棟)</t>
        </is>
      </c>
      <c r="B18" s="12" t="n">
        <v>4</v>
      </c>
      <c r="C18" s="7" t="inlineStr">
        <is>
          <t>バランスが取れた標準層</t>
        </is>
      </c>
      <c r="D18" s="7" t="inlineStr">
        <is>
          <t>主力パートナー / 多様な価格帯をカバー</t>
        </is>
      </c>
    </row>
    <row r="19">
      <c r="A19" s="10" t="inlineStr">
        <is>
          <t>C. 特化型小規模 (年5-10棟)</t>
        </is>
      </c>
      <c r="B19" s="12" t="n">
        <v>3</v>
      </c>
      <c r="C19" s="7" t="inlineStr">
        <is>
          <t>平屋特化・自然素材など強み明確</t>
        </is>
      </c>
      <c r="D19" s="7" t="inlineStr">
        <is>
          <t>独自の訴求力がある / 質の良い事例提供</t>
        </is>
      </c>
    </row>
    <row r="20">
      <c r="A20" s="10" t="inlineStr">
        <is>
          <t>D. 若手挑戦型 (年5棟以下)</t>
        </is>
      </c>
      <c r="B20" s="12" t="n">
        <v>1</v>
      </c>
      <c r="C20" s="7" t="inlineStr">
        <is>
          <t>発信意欲の高いチャレンジャー</t>
        </is>
      </c>
      <c r="D20" s="7" t="inlineStr">
        <is>
          <t>成長可能性 / 動画・SNS活用に積極的</t>
        </is>
      </c>
    </row>
    <row r="21">
      <c r="A21" s="23" t="inlineStr">
        <is>
          <t>合計</t>
        </is>
      </c>
      <c r="B21" s="9" t="n">
        <v>10</v>
      </c>
      <c r="C21" s="7" t="inlineStr"/>
      <c r="D21" s="7" t="inlineStr"/>
    </row>
    <row r="24">
      <c r="A24" s="3" t="inlineStr">
        <is>
          <t>■ 強み・特化分野の配分 (重複回避)</t>
        </is>
      </c>
    </row>
    <row r="25">
      <c r="A25" s="5" t="inlineStr">
        <is>
          <t>特化分野</t>
        </is>
      </c>
      <c r="B25" s="5" t="inlineStr">
        <is>
          <t>目標社数</t>
        </is>
      </c>
      <c r="C25" s="5" t="inlineStr">
        <is>
          <t>備考</t>
        </is>
      </c>
    </row>
    <row r="26">
      <c r="A26" s="10" t="inlineStr">
        <is>
          <t>平屋特化</t>
        </is>
      </c>
      <c r="B26" s="12" t="n">
        <v>3</v>
      </c>
      <c r="C26" s="7" t="inlineStr">
        <is>
          <t>ぺいほーむYouTube検索No.1の領域</t>
        </is>
      </c>
    </row>
    <row r="27">
      <c r="A27" s="10" t="inlineStr">
        <is>
          <t>ZEH・省エネ性能重視</t>
        </is>
      </c>
      <c r="B27" s="12" t="n">
        <v>2</v>
      </c>
      <c r="C27" s="7" t="inlineStr">
        <is>
          <t>補助金需要に対応</t>
        </is>
      </c>
    </row>
    <row r="28">
      <c r="A28" s="10" t="inlineStr">
        <is>
          <t>自然素材・健康住宅</t>
        </is>
      </c>
      <c r="B28" s="12" t="n">
        <v>2</v>
      </c>
      <c r="C28" s="7" t="inlineStr">
        <is>
          <t>敏感層・小さい子供世帯</t>
        </is>
      </c>
    </row>
    <row r="29">
      <c r="A29" s="10" t="inlineStr">
        <is>
          <t>子育て動線設計</t>
        </is>
      </c>
      <c r="B29" s="12" t="n">
        <v>1</v>
      </c>
      <c r="C29" s="7" t="inlineStr">
        <is>
          <t>若い夫婦へのリーチ</t>
        </is>
      </c>
    </row>
    <row r="30">
      <c r="A30" s="10" t="inlineStr">
        <is>
          <t>シニア・バリアフリー</t>
        </is>
      </c>
      <c r="B30" s="12" t="n">
        <v>1</v>
      </c>
      <c r="C30" s="7" t="inlineStr">
        <is>
          <t>50-70代層へのリーチ</t>
        </is>
      </c>
    </row>
    <row r="31">
      <c r="A31" s="10" t="inlineStr">
        <is>
          <t>デザイン性重視</t>
        </is>
      </c>
      <c r="B31" s="12" t="n">
        <v>1</v>
      </c>
      <c r="C31" s="7" t="inlineStr">
        <is>
          <t>写真映え・動画映え</t>
        </is>
      </c>
    </row>
  </sheetData>
  <mergeCells count="6">
    <mergeCell ref="C29:D29"/>
    <mergeCell ref="C30:D30"/>
    <mergeCell ref="C27:D27"/>
    <mergeCell ref="C28:D28"/>
    <mergeCell ref="C31:D31"/>
    <mergeCell ref="C26:D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採択判定ワークシート</t>
        </is>
      </c>
    </row>
    <row r="2">
      <c r="A2" s="2" t="inlineStr">
        <is>
          <t>スコア + 配分バランス + リスク をまとめて最終判定</t>
        </is>
      </c>
    </row>
    <row r="4">
      <c r="A4" s="3" t="inlineStr">
        <is>
          <t>■ 最終判定フロー</t>
        </is>
      </c>
    </row>
    <row r="6">
      <c r="A6" s="5" t="inlineStr">
        <is>
          <t>項目</t>
        </is>
      </c>
      <c r="B6" s="5" t="inlineStr">
        <is>
          <t>判定内容</t>
        </is>
      </c>
      <c r="C6" s="5" t="inlineStr">
        <is>
          <t>重み</t>
        </is>
      </c>
    </row>
    <row r="7">
      <c r="A7" s="10" t="inlineStr">
        <is>
          <t>① スコア基準</t>
        </is>
      </c>
      <c r="B7" s="7" t="inlineStr">
        <is>
          <t>合計70点以上 かつ カテゴリ①15点以上</t>
        </is>
      </c>
      <c r="C7" s="24" t="inlineStr">
        <is>
          <t>必須</t>
        </is>
      </c>
    </row>
    <row r="8">
      <c r="A8" s="10" t="inlineStr">
        <is>
          <t>② 配分バランス</t>
        </is>
      </c>
      <c r="B8" s="7" t="inlineStr">
        <is>
          <t>エリア重複・価格帯重複・強み重複を避ける</t>
        </is>
      </c>
      <c r="C8" s="24" t="inlineStr">
        <is>
          <t>必須</t>
        </is>
      </c>
    </row>
    <row r="9">
      <c r="A9" s="10" t="inlineStr">
        <is>
          <t>③ リスクチェック</t>
        </is>
      </c>
      <c r="B9" s="7" t="inlineStr">
        <is>
          <t>財務リスク・コンプライアンスリスクの排除</t>
        </is>
      </c>
      <c r="C9" s="24" t="inlineStr">
        <is>
          <t>必須</t>
        </is>
      </c>
    </row>
    <row r="10">
      <c r="A10" s="10" t="inlineStr">
        <is>
          <t>④ 理念共感度</t>
        </is>
      </c>
      <c r="B10" s="7" t="inlineStr">
        <is>
          <t>Q6-7 の回答が形式的でなく、具体的であること</t>
        </is>
      </c>
      <c r="C10" s="24" t="inlineStr">
        <is>
          <t>必須</t>
        </is>
      </c>
    </row>
    <row r="11">
      <c r="A11" s="10" t="inlineStr">
        <is>
          <t>⑤ 予約担保力</t>
        </is>
      </c>
      <c r="B11" s="7" t="inlineStr">
        <is>
          <t>Q6-5 で月1-2件の予約対応が可能と明言していること</t>
        </is>
      </c>
      <c r="C11" s="24" t="inlineStr">
        <is>
          <t>必須</t>
        </is>
      </c>
    </row>
    <row r="12">
      <c r="A12" s="10" t="inlineStr">
        <is>
          <t>⑥ 最終面談での印象</t>
        </is>
      </c>
      <c r="B12" s="7" t="inlineStr">
        <is>
          <t>代表取締役の人柄・長期パートナーとしての相性</t>
        </is>
      </c>
      <c r="C12" s="25" t="inlineStr">
        <is>
          <t>参考</t>
        </is>
      </c>
    </row>
    <row r="15">
      <c r="A15" s="3" t="inlineStr">
        <is>
          <t>■ 採択判定マトリクス (記入用)</t>
        </is>
      </c>
    </row>
    <row r="16">
      <c r="A16" s="5" t="inlineStr">
        <is>
          <t>会社名</t>
        </is>
      </c>
      <c r="B16" s="5" t="inlineStr">
        <is>
          <t>スコア</t>
        </is>
      </c>
      <c r="C16" s="5" t="inlineStr">
        <is>
          <t>エリア</t>
        </is>
      </c>
      <c r="D16" s="5" t="inlineStr">
        <is>
          <t>タイプ</t>
        </is>
      </c>
      <c r="E16" s="5" t="inlineStr">
        <is>
          <t>強み</t>
        </is>
      </c>
      <c r="F16" s="5" t="inlineStr">
        <is>
          <t>リスク</t>
        </is>
      </c>
      <c r="G16" s="5" t="inlineStr">
        <is>
          <t>総合判定</t>
        </is>
      </c>
      <c r="H16" s="5" t="inlineStr">
        <is>
          <t>契約順位</t>
        </is>
      </c>
    </row>
    <row r="17">
      <c r="A17" s="26" t="inlineStr">
        <is>
          <t>候補1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>
      <c r="A18" s="26" t="inlineStr">
        <is>
          <t>候補2</t>
        </is>
      </c>
      <c r="B18" s="27" t="n"/>
      <c r="C18" s="27" t="n"/>
      <c r="D18" s="27" t="n"/>
      <c r="E18" s="27" t="n"/>
      <c r="F18" s="27" t="n"/>
      <c r="G18" s="27" t="n"/>
      <c r="H18" s="27" t="n"/>
    </row>
    <row r="19">
      <c r="A19" s="26" t="inlineStr">
        <is>
          <t>候補3</t>
        </is>
      </c>
      <c r="B19" s="27" t="n"/>
      <c r="C19" s="27" t="n"/>
      <c r="D19" s="27" t="n"/>
      <c r="E19" s="27" t="n"/>
      <c r="F19" s="27" t="n"/>
      <c r="G19" s="27" t="n"/>
      <c r="H19" s="27" t="n"/>
    </row>
    <row r="20">
      <c r="A20" s="26" t="inlineStr">
        <is>
          <t>候補4</t>
        </is>
      </c>
      <c r="B20" s="27" t="n"/>
      <c r="C20" s="27" t="n"/>
      <c r="D20" s="27" t="n"/>
      <c r="E20" s="27" t="n"/>
      <c r="F20" s="27" t="n"/>
      <c r="G20" s="27" t="n"/>
      <c r="H20" s="27" t="n"/>
    </row>
    <row r="21">
      <c r="A21" s="26" t="inlineStr">
        <is>
          <t>候補5</t>
        </is>
      </c>
      <c r="B21" s="27" t="n"/>
      <c r="C21" s="27" t="n"/>
      <c r="D21" s="27" t="n"/>
      <c r="E21" s="27" t="n"/>
      <c r="F21" s="27" t="n"/>
      <c r="G21" s="27" t="n"/>
      <c r="H21" s="27" t="n"/>
    </row>
    <row r="22">
      <c r="A22" s="26" t="inlineStr">
        <is>
          <t>候補6</t>
        </is>
      </c>
      <c r="B22" s="27" t="n"/>
      <c r="C22" s="27" t="n"/>
      <c r="D22" s="27" t="n"/>
      <c r="E22" s="27" t="n"/>
      <c r="F22" s="27" t="n"/>
      <c r="G22" s="27" t="n"/>
      <c r="H22" s="27" t="n"/>
    </row>
    <row r="23">
      <c r="A23" s="26" t="inlineStr">
        <is>
          <t>候補7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>
      <c r="A24" s="26" t="inlineStr">
        <is>
          <t>候補8</t>
        </is>
      </c>
      <c r="B24" s="27" t="n"/>
      <c r="C24" s="27" t="n"/>
      <c r="D24" s="27" t="n"/>
      <c r="E24" s="27" t="n"/>
      <c r="F24" s="27" t="n"/>
      <c r="G24" s="27" t="n"/>
      <c r="H24" s="27" t="n"/>
    </row>
    <row r="25">
      <c r="A25" s="26" t="inlineStr">
        <is>
          <t>候補9</t>
        </is>
      </c>
      <c r="B25" s="27" t="n"/>
      <c r="C25" s="27" t="n"/>
      <c r="D25" s="27" t="n"/>
      <c r="E25" s="27" t="n"/>
      <c r="F25" s="27" t="n"/>
      <c r="G25" s="27" t="n"/>
      <c r="H25" s="27" t="n"/>
    </row>
    <row r="26">
      <c r="A26" s="26" t="inlineStr">
        <is>
          <t>候補10</t>
        </is>
      </c>
      <c r="B26" s="27" t="n"/>
      <c r="C26" s="27" t="n"/>
      <c r="D26" s="27" t="n"/>
      <c r="E26" s="27" t="n"/>
      <c r="F26" s="27" t="n"/>
      <c r="G26" s="27" t="n"/>
      <c r="H26" s="27" t="n"/>
    </row>
    <row r="28">
      <c r="A28" s="3" t="inlineStr">
        <is>
          <t>■ 採択後の運用注意</t>
        </is>
      </c>
    </row>
    <row r="29">
      <c r="A29" s="4" t="inlineStr">
        <is>
          <t>1. 採択10社には「永続フリープラン維持」を契約書に明記する (書面でお約束)</t>
        </is>
      </c>
    </row>
    <row r="30">
      <c r="A30" s="4" t="inlineStr">
        <is>
          <t>2. 代表取締役の署名入り覚書を取り交わす</t>
        </is>
      </c>
    </row>
    <row r="31">
      <c r="A31" s="4" t="inlineStr">
        <is>
          <t>3. 各社ごとに担当CS (カスタマーサクセス) を1名アサインし、初月は週1回の定例実施</t>
        </is>
      </c>
    </row>
    <row r="32">
      <c r="A32" s="4" t="inlineStr">
        <is>
          <t>4. 初回ルームツアー動画は、契約から3週間以内に撮影開始する</t>
        </is>
      </c>
    </row>
    <row r="33">
      <c r="A33" s="4" t="inlineStr">
        <is>
          <t>5. 月次のKPIレビュー時には、先行10社の予約状況を必ず個別確認する</t>
        </is>
      </c>
    </row>
    <row r="34">
      <c r="A34" s="4" t="inlineStr">
        <is>
          <t>6. 契約後6ヶ月で再評価を実施し、期待値と実績にズレがあれば改善協議を行う</t>
        </is>
      </c>
    </row>
  </sheetData>
  <mergeCells count="6">
    <mergeCell ref="A30:H30"/>
    <mergeCell ref="A29:H29"/>
    <mergeCell ref="A33:H33"/>
    <mergeCell ref="A32:H32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2026-04-11T13:43:14Z</dcterms:created>
  <dcterms:modified xmlns:dcterms="http://purl.org/dc/terms/" xmlns:xsi="http://www.w3.org/2001/XMLSchema-instance" xsi:type="dcterms:W3CDTF">2026-04-11T13:43:14Z</dcterms:modified>
</cp:coreProperties>
</file>