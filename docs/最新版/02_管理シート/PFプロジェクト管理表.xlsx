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ダッシュボード" sheetId="1" state="visible" r:id="rId1"/>
    <sheet xmlns:r="http://schemas.openxmlformats.org/officeDocument/2006/relationships" name="フェーズ管理" sheetId="2" state="visible" r:id="rId2"/>
    <sheet xmlns:r="http://schemas.openxmlformats.org/officeDocument/2006/relationships" name="ガントチャート" sheetId="3" state="visible" r:id="rId3"/>
    <sheet xmlns:r="http://schemas.openxmlformats.org/officeDocument/2006/relationships" name="担当別Todo" sheetId="4" state="visible" r:id="rId4"/>
    <sheet xmlns:r="http://schemas.openxmlformats.org/officeDocument/2006/relationships" name="Todo詳細" sheetId="5" state="visible" r:id="rId5"/>
    <sheet xmlns:r="http://schemas.openxmlformats.org/officeDocument/2006/relationships" name="追加Todo受付" sheetId="6" state="visible" r:id="rId6"/>
    <sheet xmlns:r="http://schemas.openxmlformats.org/officeDocument/2006/relationships" name="使い方ガイド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E8740C"/>
      <sz val="14"/>
    </font>
    <font>
      <name val="Arial"/>
      <sz val="9"/>
    </font>
    <font>
      <name val="Arial"/>
      <b val="1"/>
      <sz val="12"/>
    </font>
    <font>
      <name val="Arial"/>
      <b val="1"/>
      <color rgb="00FFFFFF"/>
      <sz val="10"/>
    </font>
    <font>
      <name val="Arial"/>
      <b val="1"/>
      <sz val="9"/>
    </font>
    <font>
      <name val="Arial"/>
      <b val="1"/>
      <color rgb="002E4057"/>
      <sz val="16"/>
    </font>
    <font>
      <name val="Arial"/>
      <b val="1"/>
      <color rgb="00FFFFFF"/>
      <sz val="13"/>
    </font>
    <font>
      <name val="Arial"/>
      <sz val="10"/>
    </font>
    <font>
      <name val="Arial"/>
      <b val="1"/>
      <color rgb="00FFFFFF"/>
      <sz val="16"/>
    </font>
    <font>
      <name val="Arial"/>
      <color rgb="00E8740C"/>
      <sz val="10"/>
    </font>
    <font>
      <name val="Arial"/>
      <color rgb="002E4057"/>
      <sz val="10"/>
    </font>
    <font>
      <name val="Arial"/>
      <b val="1"/>
      <sz val="14"/>
    </font>
    <font>
      <name val="Arial"/>
      <b val="1"/>
      <sz val="10"/>
    </font>
  </fonts>
  <fills count="20">
    <fill>
      <patternFill/>
    </fill>
    <fill>
      <patternFill patternType="gray125"/>
    </fill>
    <fill>
      <patternFill patternType="solid">
        <fgColor rgb="00E8740C"/>
      </patternFill>
    </fill>
    <fill>
      <patternFill patternType="solid">
        <fgColor rgb="00C8E6C9"/>
      </patternFill>
    </fill>
    <fill>
      <patternFill patternType="solid">
        <fgColor rgb="003D2200"/>
      </patternFill>
    </fill>
    <fill>
      <patternFill patternType="solid">
        <fgColor rgb="00FFE0B2"/>
      </patternFill>
    </fill>
    <fill>
      <patternFill patternType="solid">
        <fgColor rgb="00F5F5F5"/>
      </patternFill>
    </fill>
    <fill>
      <patternFill patternType="solid">
        <fgColor rgb="00FFF9C4"/>
      </patternFill>
    </fill>
    <fill>
      <patternFill patternType="solid">
        <fgColor rgb="00BBDEFB"/>
      </patternFill>
    </fill>
    <fill>
      <patternFill patternType="solid">
        <fgColor rgb="00EEEEEE"/>
      </patternFill>
    </fill>
    <fill>
      <patternFill patternType="solid">
        <fgColor rgb="00E1BEE7"/>
      </patternFill>
    </fill>
    <fill>
      <patternFill patternType="solid">
        <fgColor rgb="00FFCCCC"/>
      </patternFill>
    </fill>
    <fill>
      <patternFill patternType="solid">
        <fgColor rgb="00FFF2CC"/>
      </patternFill>
    </fill>
    <fill>
      <patternFill patternType="solid">
        <fgColor rgb="002E4057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2F3F4"/>
      </patternFill>
    </fill>
    <fill>
      <patternFill patternType="solid">
        <fgColor rgb="00FADBD8"/>
      </patternFill>
    </fill>
    <fill>
      <patternFill patternType="solid">
        <fgColor rgb="00D6EAF8"/>
      </patternFill>
    </fill>
    <fill>
      <patternFill patternType="solid">
        <fgColor rgb="00FFF3E6"/>
      </patternFill>
    </fill>
  </fills>
  <borders count="1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/>
      <top style="thin">
        <color rgb="00D5D8DC"/>
      </top>
      <bottom style="thin">
        <color rgb="00D5D8DC"/>
      </bottom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  <border/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9" fontId="2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9" fontId="5" fillId="0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4" fillId="4" borderId="0" applyAlignment="1" pivotButton="0" quotePrefix="0" xfId="0">
      <alignment vertical="center"/>
    </xf>
    <xf numFmtId="0" fontId="2" fillId="5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2" fillId="0" borderId="1" pivotButton="0" quotePrefix="0" xfId="0"/>
    <xf numFmtId="0" fontId="4" fillId="2" borderId="1" pivotButton="0" quotePrefix="0" xfId="0"/>
    <xf numFmtId="0" fontId="9" fillId="2" borderId="0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2" borderId="0" pivotButton="0" quotePrefix="0" xfId="0"/>
    <xf numFmtId="0" fontId="4" fillId="13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vertical="top" wrapText="1"/>
    </xf>
    <xf numFmtId="0" fontId="8" fillId="14" borderId="2" applyAlignment="1" pivotButton="0" quotePrefix="0" xfId="0">
      <alignment vertical="top" wrapText="1"/>
    </xf>
    <xf numFmtId="0" fontId="8" fillId="15" borderId="2" applyAlignment="1" pivotButton="0" quotePrefix="0" xfId="0">
      <alignment vertical="top" wrapText="1"/>
    </xf>
    <xf numFmtId="0" fontId="8" fillId="16" borderId="2" applyAlignment="1" pivotButton="0" quotePrefix="0" xfId="0">
      <alignment vertical="top" wrapText="1"/>
    </xf>
    <xf numFmtId="0" fontId="8" fillId="17" borderId="2" applyAlignment="1" pivotButton="0" quotePrefix="0" xfId="0">
      <alignment vertical="top" wrapText="1"/>
    </xf>
    <xf numFmtId="0" fontId="4" fillId="13" borderId="0" pivotButton="0" quotePrefix="0" xfId="0"/>
    <xf numFmtId="0" fontId="7" fillId="2" borderId="1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12" fillId="14" borderId="2" applyAlignment="1" pivotButton="0" quotePrefix="0" xfId="0">
      <alignment horizontal="center" vertical="center" wrapText="1"/>
    </xf>
    <xf numFmtId="0" fontId="12" fillId="18" borderId="2" applyAlignment="1" pivotButton="0" quotePrefix="0" xfId="0">
      <alignment horizontal="center" vertical="center" wrapText="1"/>
    </xf>
    <xf numFmtId="0" fontId="12" fillId="15" borderId="2" applyAlignment="1" pivotButton="0" quotePrefix="0" xfId="0">
      <alignment horizontal="center" vertical="center" wrapText="1"/>
    </xf>
    <xf numFmtId="0" fontId="12" fillId="17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vertical="top" wrapText="1"/>
    </xf>
    <xf numFmtId="0" fontId="8" fillId="0" borderId="2" pivotButton="0" quotePrefix="0" xfId="0"/>
    <xf numFmtId="0" fontId="8" fillId="0" borderId="0" pivotButton="0" quotePrefix="0" xfId="0"/>
    <xf numFmtId="0" fontId="8" fillId="9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8" fillId="11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0" fillId="0" borderId="9" pivotButton="0" quotePrefix="0" xfId="0"/>
    <xf numFmtId="0" fontId="0" fillId="0" borderId="10" pivotButton="0" quotePrefix="0" xfId="0"/>
    <xf numFmtId="0" fontId="1" fillId="19" borderId="0" pivotButton="0" quotePrefix="0" xfId="0"/>
    <xf numFmtId="0" fontId="13" fillId="17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13" fillId="18" borderId="2" applyAlignment="1" pivotButton="0" quotePrefix="0" xfId="0">
      <alignment horizontal="center" vertical="center" wrapText="1"/>
    </xf>
    <xf numFmtId="0" fontId="13" fillId="14" borderId="2" applyAlignment="1" pivotButton="0" quotePrefix="0" xfId="0">
      <alignment horizontal="center" vertical="center" wrapText="1"/>
    </xf>
    <xf numFmtId="0" fontId="13" fillId="15" borderId="2" applyAlignment="1" pivotButton="0" quotePrefix="0" xfId="0">
      <alignment horizontal="center" vertical="center" wrapText="1"/>
    </xf>
    <xf numFmtId="0" fontId="1" fillId="19" borderId="11" pivotButton="0" quotePrefix="0" xfId="0"/>
    <xf numFmtId="0" fontId="8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8740C"/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8" customWidth="1" min="3" max="3"/>
    <col width="8" customWidth="1" min="4" max="4"/>
    <col width="8" customWidth="1" min="5" max="5"/>
    <col width="10" customWidth="1" min="6" max="6"/>
    <col width="15" customWidth="1" min="7" max="7"/>
    <col width="15" customWidth="1" min="8" max="8"/>
  </cols>
  <sheetData>
    <row r="1" ht="45" customHeight="1">
      <c r="A1" s="22" t="inlineStr">
        <is>
          <t>現在のフェーズ：Phase 1 データ基盤構築（進行率 約60%）</t>
        </is>
      </c>
    </row>
    <row r="2" ht="25" customHeight="1">
      <c r="A2" s="23" t="inlineStr">
        <is>
          <t>Phase 1残タスク：GA4実装 / CMS構造化 / リード通知メール / 閲覧履歴UI接続 / CMS永続化</t>
        </is>
      </c>
      <c r="E2" s="24" t="inlineStr">
        <is>
          <t>Phase 2移行条件：GA4完了 + CMS構造化完了 + 通知メール稼働 + 掲載3社+ + events 1,000件+</t>
        </is>
      </c>
    </row>
    <row r="4">
      <c r="A4" s="1" t="inlineStr">
        <is>
          <t>ぺいほーむ 事業推進管理シート</t>
        </is>
      </c>
    </row>
    <row r="5">
      <c r="A5" s="2" t="inlineStr">
        <is>
          <t>最終更新: 2026-03-22</t>
        </is>
      </c>
    </row>
    <row r="7">
      <c r="A7" s="3" t="inlineStr">
        <is>
          <t>進捗サマリー</t>
        </is>
      </c>
    </row>
    <row r="8">
      <c r="A8" s="4" t="inlineStr">
        <is>
          <t>カテゴリ</t>
        </is>
      </c>
      <c r="B8" s="4" t="inlineStr">
        <is>
          <t>全タスク数</t>
        </is>
      </c>
      <c r="C8" s="4" t="inlineStr">
        <is>
          <t>完了</t>
        </is>
      </c>
      <c r="D8" s="4" t="inlineStr">
        <is>
          <t>進行中</t>
        </is>
      </c>
      <c r="E8" s="4" t="inlineStr">
        <is>
          <t>未着手</t>
        </is>
      </c>
      <c r="F8" s="4" t="inlineStr">
        <is>
          <t>完了率</t>
        </is>
      </c>
      <c r="G8" s="4" t="inlineStr">
        <is>
          <t>担当</t>
        </is>
      </c>
    </row>
    <row r="9">
      <c r="A9" s="5" t="inlineStr">
        <is>
          <t>事業戦略・収益化</t>
        </is>
      </c>
      <c r="B9" s="5">
        <f>COUNTIF(Todo詳細!B:B,"収益")+COUNTIF(Todo詳細!B:B,"戦略")</f>
        <v/>
      </c>
      <c r="C9" s="5">
        <f>COUNTIFS(Todo詳細!B:B,"収益",Todo詳細!K:K,"完了")+COUNTIFS(Todo詳細!B:B,"戦略",Todo詳細!K:K,"完了")</f>
        <v/>
      </c>
      <c r="D9" s="5">
        <f>COUNTIFS(Todo詳細!B:B,"収益",Todo詳細!K:K,"進行中")+COUNTIFS(Todo詳細!B:B,"収益",Todo詳細!K:K,"確認中")+COUNTIFS(Todo詳細!B:B,"戦略",Todo詳細!K:K,"進行中")+COUNTIFS(Todo詳細!B:B,"戦略",Todo詳細!K:K,"確認中")</f>
        <v/>
      </c>
      <c r="E9" s="5">
        <f>COUNTIFS(Todo詳細!B:B,"収益",Todo詳細!K:K,"未着手")+COUNTIFS(Todo詳細!B:B,"戦略",Todo詳細!K:K,"未着手")</f>
        <v/>
      </c>
      <c r="F9" s="6">
        <f>IF(B9=0,"-",C9/B9)</f>
        <v/>
      </c>
      <c r="G9" s="5" t="inlineStr">
        <is>
          <t>経営</t>
        </is>
      </c>
    </row>
    <row r="10">
      <c r="A10" s="5" t="inlineStr">
        <is>
          <t>営業・アライアンス</t>
        </is>
      </c>
      <c r="B10" s="5">
        <f>COUNTIF(Todo詳細!B:B,"営業")</f>
        <v/>
      </c>
      <c r="C10" s="5">
        <f>COUNTIFS(Todo詳細!B:B,"営業",Todo詳細!K:K,"完了")</f>
        <v/>
      </c>
      <c r="D10" s="5">
        <f>COUNTIFS(Todo詳細!B:B,"営業",Todo詳細!K:K,"進行中")+COUNTIFS(Todo詳細!B:B,"営業",Todo詳細!K:K,"確認中")</f>
        <v/>
      </c>
      <c r="E10" s="5">
        <f>COUNTIFS(Todo詳細!B:B,"営業",Todo詳細!K:K,"未着手")</f>
        <v/>
      </c>
      <c r="F10" s="6">
        <f>IF(B10=0,"-",C10/B10)</f>
        <v/>
      </c>
      <c r="G10" s="5" t="inlineStr">
        <is>
          <t>経営/営業</t>
        </is>
      </c>
    </row>
    <row r="11">
      <c r="A11" s="5" t="inlineStr">
        <is>
          <t>掲載品質・リライト</t>
        </is>
      </c>
      <c r="B11" s="5">
        <f>COUNTIF(Todo詳細!B:B,"品質")</f>
        <v/>
      </c>
      <c r="C11" s="5">
        <f>COUNTIFS(Todo詳細!B:B,"品質",Todo詳細!K:K,"完了")</f>
        <v/>
      </c>
      <c r="D11" s="5">
        <f>COUNTIFS(Todo詳細!B:B,"品質",Todo詳細!K:K,"進行中")+COUNTIFS(Todo詳細!B:B,"品質",Todo詳細!K:K,"確認中")</f>
        <v/>
      </c>
      <c r="E11" s="5">
        <f>COUNTIFS(Todo詳細!B:B,"品質",Todo詳細!K:K,"未着手")</f>
        <v/>
      </c>
      <c r="F11" s="6">
        <f>IF(B11=0,"-",C11/B11)</f>
        <v/>
      </c>
      <c r="G11" s="5" t="inlineStr">
        <is>
          <t>コンテンツ</t>
        </is>
      </c>
    </row>
    <row r="12">
      <c r="A12" s="5" t="inlineStr">
        <is>
          <t>集客・マーケティング</t>
        </is>
      </c>
      <c r="B12" s="5">
        <f>COUNTIF(Todo詳細!B:B,"集客")</f>
        <v/>
      </c>
      <c r="C12" s="5">
        <f>COUNTIFS(Todo詳細!B:B,"集客",Todo詳細!K:K,"完了")</f>
        <v/>
      </c>
      <c r="D12" s="5">
        <f>COUNTIFS(Todo詳細!B:B,"集客",Todo詳細!K:K,"進行中")+COUNTIFS(Todo詳細!B:B,"集客",Todo詳細!K:K,"確認中")</f>
        <v/>
      </c>
      <c r="E12" s="5">
        <f>COUNTIFS(Todo詳細!B:B,"集客",Todo詳細!K:K,"未着手")</f>
        <v/>
      </c>
      <c r="F12" s="6">
        <f>IF(B12=0,"-",C12/B12)</f>
        <v/>
      </c>
      <c r="G12" s="5" t="inlineStr">
        <is>
          <t>マーケ</t>
        </is>
      </c>
    </row>
    <row r="13">
      <c r="A13" s="5" t="inlineStr">
        <is>
          <t>オペレーション</t>
        </is>
      </c>
      <c r="B13" s="5">
        <f>COUNTIF(Todo詳細!B:B,"オペ")</f>
        <v/>
      </c>
      <c r="C13" s="5">
        <f>COUNTIFS(Todo詳細!B:B,"オペ",Todo詳細!K:K,"完了")</f>
        <v/>
      </c>
      <c r="D13" s="5">
        <f>COUNTIFS(Todo詳細!B:B,"オペ",Todo詳細!K:K,"進行中")+COUNTIFS(Todo詳細!B:B,"オペ",Todo詳細!K:K,"確認中")</f>
        <v/>
      </c>
      <c r="E13" s="5">
        <f>COUNTIFS(Todo詳細!B:B,"オペ",Todo詳細!K:K,"未着手")</f>
        <v/>
      </c>
      <c r="F13" s="6">
        <f>IF(B13=0,"-",C13/B13)</f>
        <v/>
      </c>
      <c r="G13" s="5" t="inlineStr">
        <is>
          <t>CS/経営</t>
        </is>
      </c>
    </row>
    <row r="14">
      <c r="A14" s="5" t="inlineStr">
        <is>
          <t>KPI・計測</t>
        </is>
      </c>
      <c r="B14" s="5">
        <f>COUNTIF(Todo詳細!B:B,"計測")+COUNTIF(Todo詳細!B:B,"データ")</f>
        <v/>
      </c>
      <c r="C14" s="5">
        <f>COUNTIFS(Todo詳細!B:B,"計測",Todo詳細!K:K,"完了")+COUNTIFS(Todo詳細!B:B,"データ",Todo詳細!K:K,"完了")</f>
        <v/>
      </c>
      <c r="D14" s="5">
        <f>COUNTIFS(Todo詳細!B:B,"計測",Todo詳細!K:K,"進行中")+COUNTIFS(Todo詳細!B:B,"計測",Todo詳細!K:K,"確認中")+COUNTIFS(Todo詳細!B:B,"データ",Todo詳細!K:K,"進行中")+COUNTIFS(Todo詳細!B:B,"データ",Todo詳細!K:K,"確認中")</f>
        <v/>
      </c>
      <c r="E14" s="5">
        <f>COUNTIFS(Todo詳細!B:B,"計測",Todo詳細!K:K,"未着手")+COUNTIFS(Todo詳細!B:B,"データ",Todo詳細!K:K,"未着手")</f>
        <v/>
      </c>
      <c r="F14" s="6">
        <f>IF(B14=0,"-",C14/B14)</f>
        <v/>
      </c>
      <c r="G14" s="5" t="inlineStr">
        <is>
          <t>PM</t>
        </is>
      </c>
    </row>
    <row r="15">
      <c r="A15" s="5" t="inlineStr">
        <is>
          <t>コンテンツ制作</t>
        </is>
      </c>
      <c r="B15" s="5">
        <f>COUNTIF(Todo詳細!B:B,"コンテンツ")+COUNTIF(Todo詳細!B:B,"CV")</f>
        <v/>
      </c>
      <c r="C15" s="5">
        <f>COUNTIFS(Todo詳細!B:B,"コンテンツ",Todo詳細!K:K,"完了")+COUNTIFS(Todo詳細!B:B,"CV",Todo詳細!K:K,"完了")</f>
        <v/>
      </c>
      <c r="D15" s="5">
        <f>COUNTIFS(Todo詳細!B:B,"コンテンツ",Todo詳細!K:K,"進行中")+COUNTIFS(Todo詳細!B:B,"コンテンツ",Todo詳細!K:K,"確認中")+COUNTIFS(Todo詳細!B:B,"CV",Todo詳細!K:K,"進行中")+COUNTIFS(Todo詳細!B:B,"CV",Todo詳細!K:K,"確認中")</f>
        <v/>
      </c>
      <c r="E15" s="5">
        <f>COUNTIFS(Todo詳細!B:B,"コンテンツ",Todo詳細!K:K,"未着手")+COUNTIFS(Todo詳細!B:B,"CV",Todo詳細!K:K,"未着手")</f>
        <v/>
      </c>
      <c r="F15" s="6">
        <f>IF(B15=0,"-",C15/B15)</f>
        <v/>
      </c>
      <c r="G15" s="5" t="inlineStr">
        <is>
          <t>コンテンツ</t>
        </is>
      </c>
    </row>
    <row r="16">
      <c r="A16" s="7" t="inlineStr">
        <is>
          <t>合計</t>
        </is>
      </c>
      <c r="B16" s="7">
        <f>SUM(B9:B15)</f>
        <v/>
      </c>
      <c r="C16" s="7">
        <f>SUM(C9:C15)</f>
        <v/>
      </c>
      <c r="D16" s="7">
        <f>SUM(D9:D15)</f>
        <v/>
      </c>
      <c r="E16" s="7">
        <f>SUM(E9:E15)</f>
        <v/>
      </c>
      <c r="F16" s="8">
        <f>IF(B16=0,"-",C16/B16)</f>
        <v/>
      </c>
      <c r="G16" s="7" t="inlineStr">
        <is>
          <t>-</t>
        </is>
      </c>
    </row>
    <row r="18">
      <c r="A18" s="3" t="inlineStr">
        <is>
          <t>直近マイルストーン</t>
        </is>
      </c>
    </row>
    <row r="19">
      <c r="A19" s="4" t="inlineStr">
        <is>
          <t>マイルストーン</t>
        </is>
      </c>
      <c r="B19" s="4" t="inlineStr">
        <is>
          <t>目標日</t>
        </is>
      </c>
      <c r="C19" s="4" t="inlineStr">
        <is>
          <t>状態</t>
        </is>
      </c>
      <c r="D19" s="4" t="inlineStr">
        <is>
          <t>担当</t>
        </is>
      </c>
      <c r="E19" s="4" t="inlineStr">
        <is>
          <t>備考</t>
        </is>
      </c>
    </row>
    <row r="20">
      <c r="A20" s="5" t="inlineStr">
        <is>
          <t>営業提案書 完成</t>
        </is>
      </c>
      <c r="B20" s="5" t="inlineStr">
        <is>
          <t>2026-04-01</t>
        </is>
      </c>
      <c r="C20" s="9">
        <f>VLOOKUP("T-07",Todo詳細!A:K,11,FALSE)</f>
        <v/>
      </c>
      <c r="D20" s="5" t="inlineStr">
        <is>
          <t>経営</t>
        </is>
      </c>
      <c r="E20" s="5" t="n"/>
    </row>
    <row r="21">
      <c r="A21" s="5" t="inlineStr">
        <is>
          <t>GA4計測 稼働開始</t>
        </is>
      </c>
      <c r="B21" s="5" t="inlineStr">
        <is>
          <t>2026-04-01</t>
        </is>
      </c>
      <c r="C21" s="5">
        <f>VLOOKUP("T-09",Todo詳細!A:K,11,FALSE)</f>
        <v/>
      </c>
      <c r="D21" s="5" t="inlineStr">
        <is>
          <t>PM/エンジニア</t>
        </is>
      </c>
      <c r="E21" s="5" t="n"/>
    </row>
    <row r="22">
      <c r="A22" s="5" t="inlineStr">
        <is>
          <t>初期パートナー1社 獲得</t>
        </is>
      </c>
      <c r="B22" s="5" t="inlineStr">
        <is>
          <t>2026-04-15</t>
        </is>
      </c>
      <c r="C22" s="5">
        <f>VLOOKUP("T-36",Todo詳細!A:K,11,FALSE)</f>
        <v/>
      </c>
      <c r="D22" s="5" t="inlineStr">
        <is>
          <t>経営/営業</t>
        </is>
      </c>
      <c r="E22" s="5" t="inlineStr">
        <is>
          <t>最重要</t>
        </is>
      </c>
    </row>
    <row r="23">
      <c r="A23" s="5" t="inlineStr">
        <is>
          <t>掲載品質監査 完了</t>
        </is>
      </c>
      <c r="B23" s="5" t="inlineStr">
        <is>
          <t>2026-04-07</t>
        </is>
      </c>
      <c r="C23" s="9">
        <f>VLOOKUP("T-26",Todo詳細!A:K,11,FALSE)</f>
        <v/>
      </c>
      <c r="D23" s="5" t="inlineStr">
        <is>
          <t>コンテンツ</t>
        </is>
      </c>
      <c r="E23" s="5" t="n"/>
    </row>
    <row r="24">
      <c r="A24" s="5" t="inlineStr">
        <is>
          <t>週次KPIレポート 開始</t>
        </is>
      </c>
      <c r="B24" s="5" t="inlineStr">
        <is>
          <t>2026-04-07</t>
        </is>
      </c>
      <c r="C24" s="9">
        <f>VLOOKUP("T-38",Todo詳細!A:K,11,FALSE)</f>
        <v/>
      </c>
      <c r="D24" s="5" t="inlineStr">
        <is>
          <t>PM</t>
        </is>
      </c>
      <c r="E24" s="5" t="n"/>
    </row>
    <row r="25">
      <c r="A25" s="5" t="inlineStr">
        <is>
          <t>パートナー3社 達成</t>
        </is>
      </c>
      <c r="B25" s="5" t="inlineStr">
        <is>
          <t>2026-05-15</t>
        </is>
      </c>
      <c r="C25" s="5" t="inlineStr">
        <is>
          <t>未着手</t>
        </is>
      </c>
      <c r="D25" s="5" t="inlineStr">
        <is>
          <t>営業</t>
        </is>
      </c>
      <c r="E25" s="5" t="n"/>
    </row>
    <row r="26">
      <c r="A26" s="5" t="inlineStr">
        <is>
          <t>月次売上 発生</t>
        </is>
      </c>
      <c r="B26" s="5" t="inlineStr">
        <is>
          <t>2026-06-15</t>
        </is>
      </c>
      <c r="C26" s="5" t="inlineStr">
        <is>
          <t>未着手</t>
        </is>
      </c>
      <c r="D26" s="5" t="inlineStr">
        <is>
          <t>経営</t>
        </is>
      </c>
      <c r="E26" s="5" t="n"/>
    </row>
    <row r="27">
      <c r="A27" s="42" t="inlineStr">
        <is>
          <t>銀行提携 交渉開始</t>
        </is>
      </c>
      <c r="B27" s="42" t="inlineStr">
        <is>
          <t>2026-05-01</t>
        </is>
      </c>
      <c r="C27" s="42">
        <f>VLOOKUP("T-45",Todo詳細!A:K,11,FALSE)</f>
        <v/>
      </c>
      <c r="D27" s="42" t="inlineStr">
        <is>
          <t>経営/営業</t>
        </is>
      </c>
      <c r="E27" s="42" t="inlineStr">
        <is>
          <t>住宅ローン特別金利</t>
        </is>
      </c>
    </row>
    <row r="28">
      <c r="A28" s="42" t="inlineStr">
        <is>
          <t>視聴者アンケート 完了</t>
        </is>
      </c>
      <c r="B28" s="42" t="inlineStr">
        <is>
          <t>2026-04-21</t>
        </is>
      </c>
      <c r="C28" s="42">
        <f>VLOOKUP("T-51",Todo詳細!A:K,11,FALSE)</f>
        <v/>
      </c>
      <c r="D28" s="42" t="inlineStr">
        <is>
          <t>経営/マーケ</t>
        </is>
      </c>
      <c r="E28" s="42" t="inlineStr">
        <is>
          <t>ペルソナ更新に使用</t>
        </is>
      </c>
    </row>
    <row r="29">
      <c r="A29" s="42" t="inlineStr">
        <is>
          <t>CS体制 構築完了</t>
        </is>
      </c>
      <c r="B29" s="42" t="inlineStr">
        <is>
          <t>2026-04-14</t>
        </is>
      </c>
      <c r="C29" s="42">
        <f>VLOOKUP("T-52",Todo詳細!A:K,11,FALSE)</f>
        <v/>
      </c>
      <c r="D29" s="42" t="inlineStr">
        <is>
          <t>経営/CS</t>
        </is>
      </c>
      <c r="E29" s="42" t="inlineStr">
        <is>
          <t>反響対応開始前に必須</t>
        </is>
      </c>
    </row>
    <row r="30">
      <c r="A30" s="42" t="inlineStr">
        <is>
          <t>施工事例写真 3社分確保</t>
        </is>
      </c>
      <c r="B30" s="42" t="inlineStr">
        <is>
          <t>2026-05-15</t>
        </is>
      </c>
      <c r="C30" s="42">
        <f>VLOOKUP("T-53",Todo詳細!A:K,11,FALSE)</f>
        <v/>
      </c>
      <c r="D30" s="42" t="inlineStr">
        <is>
          <t>コンテンツ/営業</t>
        </is>
      </c>
      <c r="E30" s="42" t="inlineStr">
        <is>
          <t>掲載品質に直結</t>
        </is>
      </c>
    </row>
    <row r="31">
      <c r="A31" s="42" t="inlineStr">
        <is>
          <t>競合分析 完了</t>
        </is>
      </c>
      <c r="B31" s="42" t="inlineStr">
        <is>
          <t>2026-05-07</t>
        </is>
      </c>
      <c r="C31" s="42">
        <f>VLOOKUP("T-54",Todo詳細!A:K,11,FALSE)</f>
        <v/>
      </c>
      <c r="D31" s="42" t="inlineStr">
        <is>
          <t>経営/PM</t>
        </is>
      </c>
      <c r="E31" s="42" t="inlineStr">
        <is>
          <t>営業提案の差別化根拠</t>
        </is>
      </c>
    </row>
  </sheetData>
  <mergeCells count="3">
    <mergeCell ref="E2:H2"/>
    <mergeCell ref="A2:D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8740C"/>
    <outlinePr summaryBelow="1" summaryRight="1"/>
    <pageSetUpPr/>
  </sheetPr>
  <dimension ref="A1:N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8" customWidth="1" min="4" max="4"/>
    <col width="26" customWidth="1" min="5" max="5"/>
    <col width="60" customWidth="1" min="6" max="6"/>
    <col width="18" customWidth="1" min="7" max="7"/>
    <col width="10" customWidth="1" min="8" max="8"/>
    <col width="12" customWidth="1" min="9" max="9"/>
  </cols>
  <sheetData>
    <row r="1" ht="40" customHeight="1">
      <c r="A1" s="25" t="inlineStr">
        <is>
          <t>ぺいほーむ フェーズ管理</t>
        </is>
      </c>
    </row>
    <row r="3" ht="30" customHeight="1">
      <c r="A3" s="26" t="inlineStr">
        <is>
          <t>フェーズ概要</t>
        </is>
      </c>
    </row>
    <row r="4">
      <c r="A4" s="27" t="inlineStr">
        <is>
          <t>フェーズ</t>
        </is>
      </c>
      <c r="B4" s="27" t="inlineStr">
        <is>
          <t>状態</t>
        </is>
      </c>
      <c r="C4" s="27" t="inlineStr">
        <is>
          <t>概要</t>
        </is>
      </c>
      <c r="D4" s="27" t="inlineStr">
        <is>
          <t>開始条件</t>
        </is>
      </c>
      <c r="E4" s="27" t="inlineStr">
        <is>
          <t>完了条件</t>
        </is>
      </c>
      <c r="F4" s="27" t="inlineStr">
        <is>
          <t>期間目安</t>
        </is>
      </c>
      <c r="G4" s="27" t="inlineStr">
        <is>
          <t>事業側の主な作業</t>
        </is>
      </c>
      <c r="H4" s="27" t="inlineStr">
        <is>
          <t>開発側の主な作業</t>
        </is>
      </c>
    </row>
    <row r="5" ht="60" customHeight="1">
      <c r="A5" s="28" t="inlineStr">
        <is>
          <t>Phase 0</t>
        </is>
      </c>
      <c r="B5" s="29" t="inlineStr">
        <is>
          <t>✅ 完了</t>
        </is>
      </c>
      <c r="C5" s="28" t="inlineStr">
        <is>
          <t>プラットフォーム基盤構築（62画面・認証・AIチャット基盤）</t>
        </is>
      </c>
      <c r="D5" s="28" t="inlineStr">
        <is>
          <t>-</t>
        </is>
      </c>
      <c r="E5" s="28" t="inlineStr">
        <is>
          <t>全画面実装完了</t>
        </is>
      </c>
      <c r="F5" s="28" t="inlineStr">
        <is>
          <t>完了済み</t>
        </is>
      </c>
      <c r="G5" s="28" t="inlineStr">
        <is>
          <t>要件定義・画面設計</t>
        </is>
      </c>
      <c r="H5" s="28" t="inlineStr">
        <is>
          <t>フロントエンド・バックエンド全構築</t>
        </is>
      </c>
    </row>
    <row r="6" ht="60" customHeight="1">
      <c r="A6" s="28" t="inlineStr">
        <is>
          <t>Phase 1</t>
        </is>
      </c>
      <c r="B6" s="30" t="inlineStr">
        <is>
          <t>🔧 進行中（約60%）</t>
        </is>
      </c>
      <c r="C6" s="28" t="inlineStr">
        <is>
          <t>データ基盤構築（行動追跡・チャットログ・お気に入り・GA4）</t>
        </is>
      </c>
      <c r="D6" s="28" t="inlineStr">
        <is>
          <t>Phase 0完了</t>
        </is>
      </c>
      <c r="E6" s="28" t="inlineStr">
        <is>
          <t>GA4設置完了 + CMS構造化完了 + リード通知メール稼働 + 掲載工務店3社以上 + user_events 1,000件以上</t>
        </is>
      </c>
      <c r="F6" s="28" t="inlineStr">
        <is>
          <t>1〜2ヶ月</t>
        </is>
      </c>
      <c r="G6" s="28" t="inlineStr">
        <is>
          <t>工務店営業・掲載情報整備・GA4設計・コンテンツ品質改善</t>
        </is>
      </c>
      <c r="H6" s="28" t="inlineStr">
        <is>
          <t>GA4実装・CMS構造化フォーム・Resendメール接続・閲覧履歴UI接続</t>
        </is>
      </c>
    </row>
    <row r="7" ht="60" customHeight="1">
      <c r="A7" s="28" t="inlineStr">
        <is>
          <t>Phase 2</t>
        </is>
      </c>
      <c r="B7" s="31" t="inlineStr">
        <is>
          <t>📋 未着手</t>
        </is>
      </c>
      <c r="C7" s="28" t="inlineStr">
        <is>
          <t>AI活用開始（推薦・診断・意向抽出・分析ダッシュボード）</t>
        </is>
      </c>
      <c r="D7" s="28" t="inlineStr">
        <is>
          <t>Phase 1の完了条件を全て満たす</t>
        </is>
      </c>
      <c r="E7" s="28" t="inlineStr">
        <is>
          <t>AI推薦精度検証完了 + 月間リード30件以上 + 掲載工務店10社以上 + プロフィール登録率10%以上</t>
        </is>
      </c>
      <c r="F7" s="28" t="inlineStr">
        <is>
          <t>3〜6ヶ月</t>
        </is>
      </c>
      <c r="G7" s="28" t="inlineStr">
        <is>
          <t>AI推薦のフィードバック・工務店レポート設計・営業拡大・コンテンツ量産</t>
        </is>
      </c>
      <c r="H7" s="28" t="inlineStr">
        <is>
          <t>user_profiles・比較リスト・AIチャット拡張・推薦ロジック・分析ダッシュボード</t>
        </is>
      </c>
    </row>
    <row r="8" ht="60" customHeight="1">
      <c r="A8" s="28" t="inlineStr">
        <is>
          <t>Phase 3</t>
        </is>
      </c>
      <c r="B8" s="31" t="inlineStr">
        <is>
          <t>📋 未着手</t>
        </is>
      </c>
      <c r="C8" s="28" t="inlineStr">
        <is>
          <t>AI本格稼働・SaaS化（AI住宅コンシェルジュ・AI営業マン・Stripe決済）</t>
        </is>
      </c>
      <c r="D8" s="28" t="inlineStr">
        <is>
          <t>Phase 2の完了条件を全て満たす</t>
        </is>
      </c>
      <c r="E8" s="28" t="inlineStr">
        <is>
          <t>AI住宅コンシェルジュ稼働 + SaaSプラン販売開始 + エリア拡大計画策定</t>
        </is>
      </c>
      <c r="F8" s="28" t="inlineStr">
        <is>
          <t>6〜12ヶ月</t>
        </is>
      </c>
      <c r="G8" s="28" t="inlineStr">
        <is>
          <t>SaaS価格設定・エリア拡大戦略・パートナー拡大</t>
        </is>
      </c>
      <c r="H8" s="28" t="inlineStr">
        <is>
          <t>AIコンシェルジュ・AI営業マン・Stripe連携・CRM連携</t>
        </is>
      </c>
    </row>
    <row r="10" ht="30" customHeight="1">
      <c r="A10" s="26" t="inlineStr">
        <is>
          <t>Phase 1：データ基盤構築（詳細）</t>
        </is>
      </c>
    </row>
    <row r="11">
      <c r="A11" s="27" t="inlineStr">
        <is>
          <t>ID</t>
        </is>
      </c>
      <c r="B11" s="27" t="inlineStr">
        <is>
          <t>項目</t>
        </is>
      </c>
      <c r="C11" s="27" t="inlineStr">
        <is>
          <t>優先度</t>
        </is>
      </c>
      <c r="D11" s="27" t="inlineStr">
        <is>
          <t>状態</t>
        </is>
      </c>
      <c r="E11" s="27" t="inlineStr">
        <is>
          <t>担当</t>
        </is>
      </c>
      <c r="F11" s="27" t="inlineStr">
        <is>
          <t>事業側Todo</t>
        </is>
      </c>
      <c r="G11" s="27" t="inlineStr">
        <is>
          <t>開発側Todo</t>
        </is>
      </c>
      <c r="H11" s="27" t="inlineStr">
        <is>
          <t>完了基準</t>
        </is>
      </c>
      <c r="I11" s="27" t="inlineStr">
        <is>
          <t>備考</t>
        </is>
      </c>
    </row>
    <row r="12" ht="45" customHeight="1">
      <c r="A12" s="28" t="inlineStr">
        <is>
          <t>P1-01</t>
        </is>
      </c>
      <c r="B12" s="28" t="inlineStr">
        <is>
          <t>anonymous_id統一</t>
        </is>
      </c>
      <c r="C12" s="28" t="inlineStr">
        <is>
          <t>S</t>
        </is>
      </c>
      <c r="D12" s="29" t="inlineStr">
        <is>
          <t>✅ 完了</t>
        </is>
      </c>
      <c r="E12" s="28" t="inlineStr">
        <is>
          <t>エンジニア</t>
        </is>
      </c>
      <c r="F12" s="28" t="inlineStr">
        <is>
          <t>-</t>
        </is>
      </c>
      <c r="G12" s="28" t="inlineStr">
        <is>
          <t>use-anonymous-id.ts実装済み</t>
        </is>
      </c>
      <c r="H12" s="28" t="inlineStr">
        <is>
          <t>LocalStorage生成・保存・送信</t>
        </is>
      </c>
      <c r="I12" s="28" t="inlineStr">
        <is>
          <t>実装済み</t>
        </is>
      </c>
    </row>
    <row r="13" ht="45" customHeight="1">
      <c r="A13" s="28" t="inlineStr">
        <is>
          <t>P1-02</t>
        </is>
      </c>
      <c r="B13" s="28" t="inlineStr">
        <is>
          <t>user_eventsテーブル + API</t>
        </is>
      </c>
      <c r="C13" s="28" t="inlineStr">
        <is>
          <t>S</t>
        </is>
      </c>
      <c r="D13" s="29" t="inlineStr">
        <is>
          <t>✅ 完了</t>
        </is>
      </c>
      <c r="E13" s="28" t="inlineStr">
        <is>
          <t>エンジニア</t>
        </is>
      </c>
      <c r="F13" s="28" t="inlineStr">
        <is>
          <t>-</t>
        </is>
      </c>
      <c r="G13" s="28" t="inlineStr">
        <is>
          <t>POST /api/events/track実装済み</t>
        </is>
      </c>
      <c r="H13" s="28" t="inlineStr">
        <is>
          <t>sendBeaconバッチ送信</t>
        </is>
      </c>
      <c r="I13" s="28" t="inlineStr">
        <is>
          <t>実装済み</t>
        </is>
      </c>
    </row>
    <row r="14" ht="45" customHeight="1">
      <c r="A14" s="28" t="inlineStr">
        <is>
          <t>P1-03</t>
        </is>
      </c>
      <c r="B14" s="28" t="inlineStr">
        <is>
          <t>chat_sessions / chat_messages保存</t>
        </is>
      </c>
      <c r="C14" s="28" t="inlineStr">
        <is>
          <t>S</t>
        </is>
      </c>
      <c r="D14" s="29" t="inlineStr">
        <is>
          <t>✅ 完了</t>
        </is>
      </c>
      <c r="E14" s="28" t="inlineStr">
        <is>
          <t>エンジニア</t>
        </is>
      </c>
      <c r="F14" s="28" t="inlineStr">
        <is>
          <t>-</t>
        </is>
      </c>
      <c r="G14" s="28" t="inlineStr">
        <is>
          <t>チャットAPI拡張済み</t>
        </is>
      </c>
      <c r="H14" s="28" t="inlineStr">
        <is>
          <t>会話ログがDBに保存される</t>
        </is>
      </c>
      <c r="I14" s="28" t="inlineStr">
        <is>
          <t>実装済み</t>
        </is>
      </c>
    </row>
    <row r="15" ht="45" customHeight="1">
      <c r="A15" s="28" t="inlineStr">
        <is>
          <t>P1-04</t>
        </is>
      </c>
      <c r="B15" s="28" t="inlineStr">
        <is>
          <t>リード流入チャネル・直前閲覧付与</t>
        </is>
      </c>
      <c r="C15" s="28" t="inlineStr">
        <is>
          <t>S</t>
        </is>
      </c>
      <c r="D15" s="29" t="inlineStr">
        <is>
          <t>✅ 完了</t>
        </is>
      </c>
      <c r="E15" s="28" t="inlineStr">
        <is>
          <t>エンジニア</t>
        </is>
      </c>
      <c r="F15" s="28" t="inlineStr">
        <is>
          <t>-</t>
        </is>
      </c>
      <c r="G15" s="28" t="inlineStr">
        <is>
          <t>inferSourceChannel実装済み</t>
        </is>
      </c>
      <c r="H15" s="28" t="inlineStr">
        <is>
          <t>リードにsource_channel, recent_views付与</t>
        </is>
      </c>
      <c r="I15" s="28" t="inlineStr">
        <is>
          <t>実装済み</t>
        </is>
      </c>
    </row>
    <row r="16" ht="45" customHeight="1">
      <c r="A16" s="28" t="inlineStr">
        <is>
          <t>P1-05</t>
        </is>
      </c>
      <c r="B16" s="28" t="inlineStr">
        <is>
          <t>お気に入り機能</t>
        </is>
      </c>
      <c r="C16" s="28" t="inlineStr">
        <is>
          <t>A</t>
        </is>
      </c>
      <c r="D16" s="29" t="inlineStr">
        <is>
          <t>✅ 完了</t>
        </is>
      </c>
      <c r="E16" s="28" t="inlineStr">
        <is>
          <t>エンジニア</t>
        </is>
      </c>
      <c r="F16" s="28" t="inlineStr">
        <is>
          <t>-</t>
        </is>
      </c>
      <c r="G16" s="28" t="inlineStr">
        <is>
          <t>FavoriteButton + API実装済み</t>
        </is>
      </c>
      <c r="H16" s="28" t="inlineStr">
        <is>
          <t>未ログインでも動作・ログイン後マージ</t>
        </is>
      </c>
      <c r="I16" s="28" t="inlineStr">
        <is>
          <t>実装済み</t>
        </is>
      </c>
    </row>
    <row r="17" ht="45" customHeight="1">
      <c r="A17" s="28" t="inlineStr">
        <is>
          <t>P1-06</t>
        </is>
      </c>
      <c r="B17" s="28" t="inlineStr">
        <is>
          <t>閲覧履歴UI接続</t>
        </is>
      </c>
      <c r="C17" s="28" t="inlineStr">
        <is>
          <t>A</t>
        </is>
      </c>
      <c r="D17" s="30" t="inlineStr">
        <is>
          <t>⚠️ 部分的</t>
        </is>
      </c>
      <c r="E17" s="28" t="inlineStr">
        <is>
          <t>エンジニア</t>
        </is>
      </c>
      <c r="F17" s="28" t="inlineStr">
        <is>
          <t>-</t>
        </is>
      </c>
      <c r="G17" s="28" t="inlineStr">
        <is>
          <t>ダッシュボードUIをライブデータに接続</t>
        </is>
      </c>
      <c r="H17" s="28" t="inlineStr">
        <is>
          <t>/dashboard/user/historyがリアルデータ表示</t>
        </is>
      </c>
      <c r="I17" s="28" t="inlineStr">
        <is>
          <t>モックデータのまま</t>
        </is>
      </c>
    </row>
    <row r="18" ht="45" customHeight="1">
      <c r="A18" s="28" t="inlineStr">
        <is>
          <t>P1-07</t>
        </is>
      </c>
      <c r="B18" s="28" t="inlineStr">
        <is>
          <t>GA4カスタムイベント設計・実装</t>
        </is>
      </c>
      <c r="C18" s="28" t="inlineStr">
        <is>
          <t>A</t>
        </is>
      </c>
      <c r="D18" s="32" t="inlineStr">
        <is>
          <t>❌ 未実装</t>
        </is>
      </c>
      <c r="E18" s="28" t="inlineStr">
        <is>
          <t>PM + エンジニア</t>
        </is>
      </c>
      <c r="F18" s="28" t="inlineStr">
        <is>
          <t>計測すべきイベント17種の最終確認・GA4プロパティ設定</t>
        </is>
      </c>
      <c r="G18" s="28" t="inlineStr">
        <is>
          <t>gtag()呼び出し追加・カスタムディメンション設定</t>
        </is>
      </c>
      <c r="H18" s="28" t="inlineStr">
        <is>
          <t>17イベントがGA4で計測できる</t>
        </is>
      </c>
      <c r="I18" s="28" t="inlineStr">
        <is>
          <t>エンジニア初タスク</t>
        </is>
      </c>
    </row>
    <row r="19" ht="45" customHeight="1">
      <c r="A19" s="28" t="inlineStr">
        <is>
          <t>P1-08</t>
        </is>
      </c>
      <c r="B19" s="28" t="inlineStr">
        <is>
          <t>CMS構造化データ項目追加</t>
        </is>
      </c>
      <c r="C19" s="28" t="inlineStr">
        <is>
          <t>A</t>
        </is>
      </c>
      <c r="D19" s="32" t="inlineStr">
        <is>
          <t>❌ 未実装</t>
        </is>
      </c>
      <c r="E19" s="28" t="inlineStr">
        <is>
          <t>PM + エンジニア + 営業</t>
        </is>
      </c>
      <c r="F19" s="28" t="inlineStr">
        <is>
          <t>工務店に入力してもらう項目の最終決定・工務店への説明</t>
        </is>
      </c>
      <c r="G19" s="28" t="inlineStr">
        <is>
          <t>CMS編集画面に構造化入力フォーム追加</t>
        </is>
      </c>
      <c r="H19" s="28" t="inlineStr">
        <is>
          <t>全掲載工務店のdesign_taste/features/suitable_for入力完了</t>
        </is>
      </c>
      <c r="I19" s="28" t="inlineStr">
        <is>
          <t>営業側の工務店ヒアリングと連動</t>
        </is>
      </c>
    </row>
    <row r="20" ht="45" customHeight="1">
      <c r="A20" s="28" t="inlineStr">
        <is>
          <t>P1-09</t>
        </is>
      </c>
      <c r="B20" s="28" t="inlineStr">
        <is>
          <t>Resendリード通知メール</t>
        </is>
      </c>
      <c r="C20" s="28" t="inlineStr">
        <is>
          <t>B</t>
        </is>
      </c>
      <c r="D20" s="32" t="inlineStr">
        <is>
          <t>❌ 未実装</t>
        </is>
      </c>
      <c r="E20" s="28" t="inlineStr">
        <is>
          <t>エンジニア</t>
        </is>
      </c>
      <c r="F20" s="28" t="inlineStr">
        <is>
          <t>通知先メールアドレスの確認</t>
        </is>
      </c>
      <c r="G20" s="28" t="inlineStr">
        <is>
          <t>email.ts → フォーム送信APIへの接続</t>
        </is>
      </c>
      <c r="H20" s="28" t="inlineStr">
        <is>
          <t>リード発生時に工務店へ即時メール通知</t>
        </is>
      </c>
      <c r="I20" s="28" t="inlineStr">
        <is>
          <t>email_notification_spec参照</t>
        </is>
      </c>
    </row>
    <row r="21" ht="45" customHeight="1">
      <c r="A21" s="28" t="inlineStr">
        <is>
          <t>P1-10</t>
        </is>
      </c>
      <c r="B21" s="28" t="inlineStr">
        <is>
          <t>CMS → Supabase永続化</t>
        </is>
      </c>
      <c r="C21" s="28" t="inlineStr">
        <is>
          <t>B</t>
        </is>
      </c>
      <c r="D21" s="32" t="inlineStr">
        <is>
          <t>❌ 未実装</t>
        </is>
      </c>
      <c r="E21" s="28" t="inlineStr">
        <is>
          <t>エンジニア</t>
        </is>
      </c>
      <c r="F21" s="28" t="inlineStr">
        <is>
          <t>-</t>
        </is>
      </c>
      <c r="G21" s="28" t="inlineStr">
        <is>
          <t>TSファイルデータのSupabase移行</t>
        </is>
      </c>
      <c r="H21" s="28" t="inlineStr">
        <is>
          <t>CMS編集がDBに保存される</t>
        </is>
      </c>
      <c r="I21" s="28" t="inlineStr">
        <is>
          <t>Phase 2の前提</t>
        </is>
      </c>
    </row>
    <row r="23" ht="30" customHeight="1">
      <c r="A23" s="26" t="inlineStr">
        <is>
          <t>Phase 2：AI活用開始（詳細）</t>
        </is>
      </c>
    </row>
    <row r="24">
      <c r="A24" s="27" t="inlineStr">
        <is>
          <t>ID</t>
        </is>
      </c>
      <c r="B24" s="27" t="inlineStr">
        <is>
          <t>項目</t>
        </is>
      </c>
      <c r="C24" s="27" t="inlineStr">
        <is>
          <t>優先度</t>
        </is>
      </c>
      <c r="D24" s="27" t="inlineStr">
        <is>
          <t>状態</t>
        </is>
      </c>
      <c r="E24" s="27" t="inlineStr">
        <is>
          <t>担当</t>
        </is>
      </c>
      <c r="F24" s="27" t="inlineStr">
        <is>
          <t>事業側Todo</t>
        </is>
      </c>
      <c r="G24" s="27" t="inlineStr">
        <is>
          <t>開発側Todo</t>
        </is>
      </c>
      <c r="H24" s="27" t="inlineStr">
        <is>
          <t>完了基準</t>
        </is>
      </c>
      <c r="I24" s="27" t="inlineStr">
        <is>
          <t>備考</t>
        </is>
      </c>
    </row>
    <row r="25" ht="45" customHeight="1">
      <c r="A25" s="28" t="inlineStr">
        <is>
          <t>P2-01</t>
        </is>
      </c>
      <c r="B25" s="28" t="inlineStr">
        <is>
          <t>user_profilesテーブル</t>
        </is>
      </c>
      <c r="C25" s="28" t="inlineStr">
        <is>
          <t>B</t>
        </is>
      </c>
      <c r="D25" s="31" t="inlineStr">
        <is>
          <t>📋 未着手</t>
        </is>
      </c>
      <c r="E25" s="28" t="inlineStr">
        <is>
          <t>エンジニア + PM</t>
        </is>
      </c>
      <c r="F25" s="28" t="inlineStr">
        <is>
          <t>プロフィール項目の最終決定（家族構成・予算・希望エリア等）</t>
        </is>
      </c>
      <c r="G25" s="28" t="inlineStr">
        <is>
          <t>テーブル作成・API・段階的入力UI</t>
        </is>
      </c>
      <c r="H25" s="28" t="inlineStr">
        <is>
          <t>ユーザーがプロフィールを入力・更新できる</t>
        </is>
      </c>
      <c r="I25" s="28" t="inlineStr">
        <is>
          <t>段階的プロフィール構築</t>
        </is>
      </c>
    </row>
    <row r="26" ht="45" customHeight="1">
      <c r="A26" s="28" t="inlineStr">
        <is>
          <t>P2-02</t>
        </is>
      </c>
      <c r="B26" s="28" t="inlineStr">
        <is>
          <t>比較リスト機能</t>
        </is>
      </c>
      <c r="C26" s="28" t="inlineStr">
        <is>
          <t>B</t>
        </is>
      </c>
      <c r="D26" s="31" t="inlineStr">
        <is>
          <t>📋 未着手</t>
        </is>
      </c>
      <c r="E26" s="28" t="inlineStr">
        <is>
          <t>エンジニア</t>
        </is>
      </c>
      <c r="F26" s="28" t="inlineStr">
        <is>
          <t>-</t>
        </is>
      </c>
      <c r="G26" s="28" t="inlineStr">
        <is>
          <t>比較テーブル・API・比較UI（横並び表示）</t>
        </is>
      </c>
      <c r="H26" s="28" t="inlineStr">
        <is>
          <t>工務店・物件を最大5件まで比較できる</t>
        </is>
      </c>
      <c r="I26" s="28" t="inlineStr">
        <is>
          <t>お気に入りと連動</t>
        </is>
      </c>
    </row>
    <row r="27" ht="45" customHeight="1">
      <c r="A27" s="28" t="inlineStr">
        <is>
          <t>P2-03</t>
        </is>
      </c>
      <c r="B27" s="28" t="inlineStr">
        <is>
          <t>AIチャット拡張（意向抽出）</t>
        </is>
      </c>
      <c r="C27" s="28" t="inlineStr">
        <is>
          <t>A</t>
        </is>
      </c>
      <c r="D27" s="31" t="inlineStr">
        <is>
          <t>📋 未着手</t>
        </is>
      </c>
      <c r="E27" s="28" t="inlineStr">
        <is>
          <t>PM + エンジニア</t>
        </is>
      </c>
      <c r="F27" s="28" t="inlineStr">
        <is>
          <t>抽出すべき意向タグの定義（平屋/ZEH/デザイン等）</t>
        </is>
      </c>
      <c r="G27" s="28" t="inlineStr">
        <is>
          <t>GPT-4oプロンプト拡張・タグ抽出ロジック</t>
        </is>
      </c>
      <c r="H27" s="28" t="inlineStr">
        <is>
          <t>チャット終了時にinterest_tags自動付与</t>
        </is>
      </c>
      <c r="I27" s="28" t="inlineStr">
        <is>
          <t>ai_chat_operation_rules参照</t>
        </is>
      </c>
    </row>
    <row r="28" ht="45" customHeight="1">
      <c r="A28" s="28" t="inlineStr">
        <is>
          <t>P2-04</t>
        </is>
      </c>
      <c r="B28" s="28" t="inlineStr">
        <is>
          <t>AIチャット拡張（工務店推薦）</t>
        </is>
      </c>
      <c r="C28" s="28" t="inlineStr">
        <is>
          <t>A</t>
        </is>
      </c>
      <c r="D28" s="31" t="inlineStr">
        <is>
          <t>📋 未着手</t>
        </is>
      </c>
      <c r="E28" s="28" t="inlineStr">
        <is>
          <t>PM + エンジニア</t>
        </is>
      </c>
      <c r="F28" s="28" t="inlineStr">
        <is>
          <t>推薦ロジックのルール定義（エリア×価格×デザイン）</t>
        </is>
      </c>
      <c r="G28" s="28" t="inlineStr">
        <is>
          <t>推薦API・構造化データとのマッチング</t>
        </is>
      </c>
      <c r="H28" s="28" t="inlineStr">
        <is>
          <t>ユーザーの条件に合う工務店を3社提案</t>
        </is>
      </c>
      <c r="I28" s="28" t="inlineStr">
        <is>
          <t>CMS構造化データが前提</t>
        </is>
      </c>
    </row>
    <row r="29" ht="45" customHeight="1">
      <c r="A29" s="28" t="inlineStr">
        <is>
          <t>P2-05</t>
        </is>
      </c>
      <c r="B29" s="28" t="inlineStr">
        <is>
          <t>AIチャット拡張（会話要約）</t>
        </is>
      </c>
      <c r="C29" s="28" t="inlineStr">
        <is>
          <t>A</t>
        </is>
      </c>
      <c r="D29" s="31" t="inlineStr">
        <is>
          <t>📋 未着手</t>
        </is>
      </c>
      <c r="E29" s="28" t="inlineStr">
        <is>
          <t>エンジニア</t>
        </is>
      </c>
      <c r="F29" s="28" t="inlineStr">
        <is>
          <t>-</t>
        </is>
      </c>
      <c r="G29" s="28" t="inlineStr">
        <is>
          <t>GPT-4oによる会話要約の自動生成</t>
        </is>
      </c>
      <c r="H29" s="28" t="inlineStr">
        <is>
          <t>chat_sessionsにconversation_summary保存</t>
        </is>
      </c>
      <c r="I29" s="28" t="inlineStr">
        <is>
          <t>リード化時に活用</t>
        </is>
      </c>
    </row>
    <row r="30" ht="45" customHeight="1">
      <c r="A30" s="28" t="inlineStr">
        <is>
          <t>P2-06</t>
        </is>
      </c>
      <c r="B30" s="28" t="inlineStr">
        <is>
          <t>意向データ付きリード</t>
        </is>
      </c>
      <c r="C30" s="28" t="inlineStr">
        <is>
          <t>A</t>
        </is>
      </c>
      <c r="D30" s="31" t="inlineStr">
        <is>
          <t>📋 未着手</t>
        </is>
      </c>
      <c r="E30" s="28" t="inlineStr">
        <is>
          <t>PM + エンジニア</t>
        </is>
      </c>
      <c r="F30" s="28" t="inlineStr">
        <is>
          <t>工務店に共有するリード情報の最終設計</t>
        </is>
      </c>
      <c r="G30" s="28" t="inlineStr">
        <is>
          <t>リード詳細画面に行動履歴・チャット要約・推薦理由を表示</t>
        </is>
      </c>
      <c r="H30" s="28" t="inlineStr">
        <is>
          <t>工務店が商談前にユーザーの意向を把握できる</t>
        </is>
      </c>
      <c r="I30" s="28" t="inlineStr">
        <is>
          <t>lead_management_rules参照</t>
        </is>
      </c>
    </row>
    <row r="31" ht="45" customHeight="1">
      <c r="A31" s="28" t="inlineStr">
        <is>
          <t>P2-07</t>
        </is>
      </c>
      <c r="B31" s="28" t="inlineStr">
        <is>
          <t>スコアリング可視化</t>
        </is>
      </c>
      <c r="C31" s="28" t="inlineStr">
        <is>
          <t>B</t>
        </is>
      </c>
      <c r="D31" s="31" t="inlineStr">
        <is>
          <t>📋 未着手</t>
        </is>
      </c>
      <c r="E31" s="28" t="inlineStr">
        <is>
          <t>PM + エンジニア</t>
        </is>
      </c>
      <c r="F31" s="28" t="inlineStr">
        <is>
          <t>スコアリングルールの最終調整（重み付け）</t>
        </is>
      </c>
      <c r="G31" s="28" t="inlineStr">
        <is>
          <t>行動データからtemperature自動計算・管理画面表示</t>
        </is>
      </c>
      <c r="H31" s="28" t="inlineStr">
        <is>
          <t>リード一覧でHot/Warm/Cold表示</t>
        </is>
      </c>
      <c r="I31" s="28" t="inlineStr">
        <is>
          <t>lead_management_rules参照</t>
        </is>
      </c>
    </row>
    <row r="32" ht="45" customHeight="1">
      <c r="A32" s="28" t="inlineStr">
        <is>
          <t>P2-08</t>
        </is>
      </c>
      <c r="B32" s="28" t="inlineStr">
        <is>
          <t>管理画面分析ダッシュボード</t>
        </is>
      </c>
      <c r="C32" s="28" t="inlineStr">
        <is>
          <t>B</t>
        </is>
      </c>
      <c r="D32" s="31" t="inlineStr">
        <is>
          <t>📋 未着手</t>
        </is>
      </c>
      <c r="E32" s="28" t="inlineStr">
        <is>
          <t>PM + エンジニア</t>
        </is>
      </c>
      <c r="F32" s="28" t="inlineStr">
        <is>
          <t>見たいKPIの優先順位決定</t>
        </is>
      </c>
      <c r="G32" s="28" t="inlineStr">
        <is>
          <t>チャート・集計API・ダッシュボードUI</t>
        </is>
      </c>
      <c r="H32" s="28" t="inlineStr">
        <is>
          <t>チャット・行動・ファネル分析が閲覧できる</t>
        </is>
      </c>
      <c r="I32" s="28" t="inlineStr">
        <is>
          <t>GA4データとの連携</t>
        </is>
      </c>
    </row>
    <row r="33" ht="45" customHeight="1">
      <c r="A33" s="28" t="inlineStr">
        <is>
          <t>P2-09</t>
        </is>
      </c>
      <c r="B33" s="28" t="inlineStr">
        <is>
          <t>工務店向けレポート基盤</t>
        </is>
      </c>
      <c r="C33" s="28" t="inlineStr">
        <is>
          <t>B</t>
        </is>
      </c>
      <c r="D33" s="31" t="inlineStr">
        <is>
          <t>📋 未着手</t>
        </is>
      </c>
      <c r="E33" s="28" t="inlineStr">
        <is>
          <t>PM + 営業 + エンジニア</t>
        </is>
      </c>
      <c r="F33" s="28" t="inlineStr">
        <is>
          <t>レポートに含める項目・頻度の決定（月次想定）</t>
        </is>
      </c>
      <c r="G33" s="28" t="inlineStr">
        <is>
          <t>レポート自動生成・PDF出力・メール送信</t>
        </is>
      </c>
      <c r="H33" s="28" t="inlineStr">
        <is>
          <t>工務店に月次でリードレポートが届く</t>
        </is>
      </c>
      <c r="I33" s="28" t="inlineStr">
        <is>
          <t>営業価値の核心</t>
        </is>
      </c>
    </row>
    <row r="34" ht="45" customHeight="1">
      <c r="A34" s="28" t="inlineStr">
        <is>
          <t>P2-10</t>
        </is>
      </c>
      <c r="B34" s="28" t="inlineStr">
        <is>
          <t>LINE Messaging API連携</t>
        </is>
      </c>
      <c r="C34" s="28" t="inlineStr">
        <is>
          <t>B</t>
        </is>
      </c>
      <c r="D34" s="31" t="inlineStr">
        <is>
          <t>📋 未着手</t>
        </is>
      </c>
      <c r="E34" s="28" t="inlineStr">
        <is>
          <t>PM + エンジニア</t>
        </is>
      </c>
      <c r="F34" s="28" t="inlineStr">
        <is>
          <t>LINE公式アカウント設定・リッチメニュー設計</t>
        </is>
      </c>
      <c r="G34" s="28" t="inlineStr">
        <is>
          <t>友だち追加追跡・プッシュ通知</t>
        </is>
      </c>
      <c r="H34" s="28" t="inlineStr">
        <is>
          <t>LINE経由のリード追跡ができる</t>
        </is>
      </c>
      <c r="I34" s="28" t="inlineStr">
        <is>
          <t>platform_operation_rules参照</t>
        </is>
      </c>
    </row>
    <row r="36" ht="30" customHeight="1">
      <c r="A36" s="26" t="inlineStr">
        <is>
          <t>Phase 3：AI本格稼働・SaaS化（詳細）</t>
        </is>
      </c>
    </row>
    <row r="37">
      <c r="A37" s="27" t="inlineStr">
        <is>
          <t>ID</t>
        </is>
      </c>
      <c r="B37" s="27" t="inlineStr">
        <is>
          <t>項目</t>
        </is>
      </c>
      <c r="C37" s="27" t="inlineStr">
        <is>
          <t>優先度</t>
        </is>
      </c>
      <c r="D37" s="27" t="inlineStr">
        <is>
          <t>状態</t>
        </is>
      </c>
      <c r="E37" s="27" t="inlineStr">
        <is>
          <t>担当</t>
        </is>
      </c>
      <c r="F37" s="27" t="inlineStr">
        <is>
          <t>事業側Todo</t>
        </is>
      </c>
      <c r="G37" s="27" t="inlineStr">
        <is>
          <t>開発側Todo</t>
        </is>
      </c>
      <c r="H37" s="27" t="inlineStr">
        <is>
          <t>完了基準</t>
        </is>
      </c>
      <c r="I37" s="27" t="inlineStr">
        <is>
          <t>備考</t>
        </is>
      </c>
    </row>
    <row r="38" ht="45" customHeight="1">
      <c r="A38" s="28" t="inlineStr">
        <is>
          <t>P3-01</t>
        </is>
      </c>
      <c r="B38" s="28" t="inlineStr">
        <is>
          <t>AI住宅コンシェルジュ</t>
        </is>
      </c>
      <c r="C38" s="28" t="inlineStr">
        <is>
          <t>A</t>
        </is>
      </c>
      <c r="D38" s="31" t="inlineStr">
        <is>
          <t>📋 未着手</t>
        </is>
      </c>
      <c r="E38" s="28" t="inlineStr">
        <is>
          <t>PM + エンジニア</t>
        </is>
      </c>
      <c r="F38" s="28" t="inlineStr">
        <is>
          <t>コンシェルジュの対話シナリオ設計・品質基準策定</t>
        </is>
      </c>
      <c r="G38" s="28" t="inlineStr">
        <is>
          <t>検討フェーズ認識 + 行動文脈 + パーソナライズ対話</t>
        </is>
      </c>
      <c r="H38" s="28" t="inlineStr">
        <is>
          <t>ユーザーの検討段階に応じた高度な対話ができる</t>
        </is>
      </c>
      <c r="I38" s="28" t="inlineStr">
        <is>
          <t>Phase 2のデータ蓄積が前提</t>
        </is>
      </c>
    </row>
    <row r="39" ht="45" customHeight="1">
      <c r="A39" s="28" t="inlineStr">
        <is>
          <t>P3-02</t>
        </is>
      </c>
      <c r="B39" s="28" t="inlineStr">
        <is>
          <t>AI営業マン</t>
        </is>
      </c>
      <c r="C39" s="28" t="inlineStr">
        <is>
          <t>A</t>
        </is>
      </c>
      <c r="D39" s="31" t="inlineStr">
        <is>
          <t>📋 未着手</t>
        </is>
      </c>
      <c r="E39" s="28" t="inlineStr">
        <is>
          <t>PM + 営業 + エンジニア</t>
        </is>
      </c>
      <c r="F39" s="28" t="inlineStr">
        <is>
          <t>工務店向け提案支援のユースケース定義</t>
        </is>
      </c>
      <c r="G39" s="28" t="inlineStr">
        <is>
          <t>商談支援ダッシュボード・提案自動生成</t>
        </is>
      </c>
      <c r="H39" s="28" t="inlineStr">
        <is>
          <t>工務店がAI提案を活用して成約率向上</t>
        </is>
      </c>
      <c r="I39" s="28" t="inlineStr">
        <is>
          <t>Phase 2の推薦ロジック改善後</t>
        </is>
      </c>
    </row>
    <row r="40" ht="45" customHeight="1">
      <c r="A40" s="28" t="inlineStr">
        <is>
          <t>P3-03</t>
        </is>
      </c>
      <c r="B40" s="28" t="inlineStr">
        <is>
          <t>商談前要約自動生成</t>
        </is>
      </c>
      <c r="C40" s="28" t="inlineStr">
        <is>
          <t>A</t>
        </is>
      </c>
      <c r="D40" s="31" t="inlineStr">
        <is>
          <t>📋 未着手</t>
        </is>
      </c>
      <c r="E40" s="28" t="inlineStr">
        <is>
          <t>エンジニア</t>
        </is>
      </c>
      <c r="F40" s="28" t="inlineStr">
        <is>
          <t>-</t>
        </is>
      </c>
      <c r="G40" s="28" t="inlineStr">
        <is>
          <t>チャット + 行動 + プロフィールの統合要約API</t>
        </is>
      </c>
      <c r="H40" s="28" t="inlineStr">
        <is>
          <t>工務店が商談前にユーザー要約を確認できる</t>
        </is>
      </c>
      <c r="I40" s="28" t="inlineStr">
        <is>
          <t>P2-05, P2-06の延長</t>
        </is>
      </c>
    </row>
    <row r="41" ht="45" customHeight="1">
      <c r="A41" s="28" t="inlineStr">
        <is>
          <t>P3-04</t>
        </is>
      </c>
      <c r="B41" s="28" t="inlineStr">
        <is>
          <t>営業改善SaaS</t>
        </is>
      </c>
      <c r="C41" s="28" t="inlineStr">
        <is>
          <t>B</t>
        </is>
      </c>
      <c r="D41" s="31" t="inlineStr">
        <is>
          <t>📋 未着手</t>
        </is>
      </c>
      <c r="E41" s="28" t="inlineStr">
        <is>
          <t>経営 + PM</t>
        </is>
      </c>
      <c r="F41" s="28" t="inlineStr">
        <is>
          <t>SaaS機能設計・価格設定・ターゲット企業定義</t>
        </is>
      </c>
      <c r="G41" s="28" t="inlineStr">
        <is>
          <t>成約パターン分析・最適提案エンジン</t>
        </is>
      </c>
      <c r="H41" s="28" t="inlineStr">
        <is>
          <t>SaaSプランとして販売可能な状態</t>
        </is>
      </c>
      <c r="I41" s="28" t="inlineStr">
        <is>
          <t>十分な成約データが必要</t>
        </is>
      </c>
    </row>
    <row r="42" ht="45" customHeight="1">
      <c r="A42" s="28" t="inlineStr">
        <is>
          <t>P3-05</t>
        </is>
      </c>
      <c r="B42" s="28" t="inlineStr">
        <is>
          <t>Stripe決済連携</t>
        </is>
      </c>
      <c r="C42" s="28" t="inlineStr">
        <is>
          <t>B</t>
        </is>
      </c>
      <c r="D42" s="31" t="inlineStr">
        <is>
          <t>📋 未着手</t>
        </is>
      </c>
      <c r="E42" s="28" t="inlineStr">
        <is>
          <t>経営 + エンジニア</t>
        </is>
      </c>
      <c r="F42" s="28" t="inlineStr">
        <is>
          <t>料金プラン最終確定・決済フロー設計</t>
        </is>
      </c>
      <c r="G42" s="28" t="inlineStr">
        <is>
          <t>Stripeサブスクリプション・請求管理UI</t>
        </is>
      </c>
      <c r="H42" s="28" t="inlineStr">
        <is>
          <t>工務店がオンラインでプラン契約・決済できる</t>
        </is>
      </c>
      <c r="I42" s="28" t="inlineStr">
        <is>
          <t>掲載工務店10社以上が前提</t>
        </is>
      </c>
    </row>
    <row r="43" ht="45" customHeight="1">
      <c r="A43" s="28" t="inlineStr">
        <is>
          <t>P3-06</t>
        </is>
      </c>
      <c r="B43" s="28" t="inlineStr">
        <is>
          <t>CRM連携</t>
        </is>
      </c>
      <c r="C43" s="28" t="inlineStr">
        <is>
          <t>C</t>
        </is>
      </c>
      <c r="D43" s="31" t="inlineStr">
        <is>
          <t>📋 未着手</t>
        </is>
      </c>
      <c r="E43" s="28" t="inlineStr">
        <is>
          <t>PM + エンジニア</t>
        </is>
      </c>
      <c r="F43" s="28" t="inlineStr">
        <is>
          <t>工務店のCRM利用状況調査・連携先CRM選定</t>
        </is>
      </c>
      <c r="G43" s="28" t="inlineStr">
        <is>
          <t>API連携・データ同期</t>
        </is>
      </c>
      <c r="H43" s="28" t="inlineStr">
        <is>
          <t>主要CRMにリード情報を自動連携</t>
        </is>
      </c>
      <c r="I43" s="28" t="inlineStr">
        <is>
          <t>工務店ニーズ次第</t>
        </is>
      </c>
    </row>
    <row r="44" ht="45" customHeight="1">
      <c r="A44" s="28" t="inlineStr">
        <is>
          <t>P3-07</t>
        </is>
      </c>
      <c r="B44" s="28" t="inlineStr">
        <is>
          <t>エリア拡大（九州全域→中国・四国）</t>
        </is>
      </c>
      <c r="C44" s="28" t="inlineStr">
        <is>
          <t>C</t>
        </is>
      </c>
      <c r="D44" s="31" t="inlineStr">
        <is>
          <t>📋 未着手</t>
        </is>
      </c>
      <c r="E44" s="28" t="inlineStr">
        <is>
          <t>経営 + 営業</t>
        </is>
      </c>
      <c r="F44" s="28" t="inlineStr">
        <is>
          <t>エリア拡大戦略策定・新規エリア工務店開拓</t>
        </is>
      </c>
      <c r="G44" s="28" t="inlineStr">
        <is>
          <t>エリアフィルター拡張・コンテンツ追加</t>
        </is>
      </c>
      <c r="H44" s="28" t="inlineStr">
        <is>
          <t>新エリアで掲載工務店5社以上</t>
        </is>
      </c>
      <c r="I44" s="28" t="inlineStr">
        <is>
          <t>九州での実績確立後</t>
        </is>
      </c>
    </row>
    <row r="47" ht="30" customHeight="1">
      <c r="A47" s="26" t="inlineStr">
        <is>
          <t>フェーズ移行条件チェックリスト</t>
        </is>
      </c>
    </row>
    <row r="48">
      <c r="A48" s="27" t="inlineStr">
        <is>
          <t>移行</t>
        </is>
      </c>
      <c r="B48" s="27" t="inlineStr">
        <is>
          <t>チェック項目</t>
        </is>
      </c>
      <c r="C48" s="27" t="inlineStr">
        <is>
          <t>現状</t>
        </is>
      </c>
      <c r="D48" s="27" t="inlineStr">
        <is>
          <t>達成基準</t>
        </is>
      </c>
      <c r="E48" s="27" t="inlineStr">
        <is>
          <t>状態</t>
        </is>
      </c>
    </row>
    <row r="49" ht="30" customHeight="1">
      <c r="A49" s="28" t="inlineStr">
        <is>
          <t>Phase 1→2</t>
        </is>
      </c>
      <c r="B49" s="28" t="inlineStr">
        <is>
          <t>GA4カスタムイベント設置</t>
        </is>
      </c>
      <c r="C49" s="28" t="inlineStr">
        <is>
          <t>未実装</t>
        </is>
      </c>
      <c r="D49" s="28" t="inlineStr">
        <is>
          <t>17イベントが計測可能</t>
        </is>
      </c>
      <c r="E49" s="32" t="inlineStr">
        <is>
          <t>❌</t>
        </is>
      </c>
    </row>
    <row r="50" ht="30" customHeight="1">
      <c r="A50" s="28" t="inlineStr">
        <is>
          <t>Phase 1→2</t>
        </is>
      </c>
      <c r="B50" s="28" t="inlineStr">
        <is>
          <t>CMS構造化データ入力</t>
        </is>
      </c>
      <c r="C50" s="28" t="inlineStr">
        <is>
          <t>未実装</t>
        </is>
      </c>
      <c r="D50" s="28" t="inlineStr">
        <is>
          <t>全掲載工務店の構造化データ入力完了</t>
        </is>
      </c>
      <c r="E50" s="32" t="inlineStr">
        <is>
          <t>❌</t>
        </is>
      </c>
    </row>
    <row r="51" ht="30" customHeight="1">
      <c r="A51" s="28" t="inlineStr">
        <is>
          <t>Phase 1→2</t>
        </is>
      </c>
      <c r="B51" s="28" t="inlineStr">
        <is>
          <t>リード通知メール稼働</t>
        </is>
      </c>
      <c r="C51" s="28" t="inlineStr">
        <is>
          <t>未実装</t>
        </is>
      </c>
      <c r="D51" s="28" t="inlineStr">
        <is>
          <t>Resend経由で即時通知が動作</t>
        </is>
      </c>
      <c r="E51" s="32" t="inlineStr">
        <is>
          <t>❌</t>
        </is>
      </c>
    </row>
    <row r="52" ht="30" customHeight="1">
      <c r="A52" s="28" t="inlineStr">
        <is>
          <t>Phase 1→2</t>
        </is>
      </c>
      <c r="B52" s="28" t="inlineStr">
        <is>
          <t>掲載工務店数</t>
        </is>
      </c>
      <c r="C52" s="28" t="inlineStr">
        <is>
          <t>0社（テストデータ）</t>
        </is>
      </c>
      <c r="D52" s="28" t="inlineStr">
        <is>
          <t>3社以上の実データ掲載</t>
        </is>
      </c>
      <c r="E52" s="32" t="inlineStr">
        <is>
          <t>❌</t>
        </is>
      </c>
    </row>
    <row r="53" ht="30" customHeight="1">
      <c r="A53" s="28" t="inlineStr">
        <is>
          <t>Phase 1→2</t>
        </is>
      </c>
      <c r="B53" s="28" t="inlineStr">
        <is>
          <t>user_events蓄積量</t>
        </is>
      </c>
      <c r="C53" s="28" t="inlineStr">
        <is>
          <t>蓄積開始済み</t>
        </is>
      </c>
      <c r="D53" s="28" t="inlineStr">
        <is>
          <t>1,000件以上</t>
        </is>
      </c>
      <c r="E53" s="32" t="inlineStr">
        <is>
          <t>❌</t>
        </is>
      </c>
    </row>
    <row r="54" ht="30" customHeight="1">
      <c r="A54" s="28" t="inlineStr">
        <is>
          <t>Phase 1→2</t>
        </is>
      </c>
      <c r="B54" s="28" t="inlineStr">
        <is>
          <t>掲載情報品質</t>
        </is>
      </c>
      <c r="C54" s="28" t="inlineStr">
        <is>
          <t>未監査</t>
        </is>
      </c>
      <c r="D54" s="28" t="inlineStr">
        <is>
          <t>全工務店ページの文言監査完了</t>
        </is>
      </c>
      <c r="E54" s="32" t="inlineStr">
        <is>
          <t>❌</t>
        </is>
      </c>
    </row>
    <row r="55" ht="30" customHeight="1">
      <c r="A55" s="28" t="inlineStr">
        <is>
          <t>Phase 2→3</t>
        </is>
      </c>
      <c r="B55" s="28" t="inlineStr">
        <is>
          <t>AI推薦精度検証</t>
        </is>
      </c>
      <c r="C55" s="28" t="inlineStr">
        <is>
          <t>未着手</t>
        </is>
      </c>
      <c r="D55" s="28" t="inlineStr">
        <is>
          <t>推薦クリック率10%以上</t>
        </is>
      </c>
      <c r="E55" s="32" t="inlineStr">
        <is>
          <t>❌</t>
        </is>
      </c>
    </row>
    <row r="56" ht="30" customHeight="1">
      <c r="A56" s="28" t="inlineStr">
        <is>
          <t>Phase 2→3</t>
        </is>
      </c>
      <c r="B56" s="28" t="inlineStr">
        <is>
          <t>月間リード数</t>
        </is>
      </c>
      <c r="C56" s="28" t="inlineStr">
        <is>
          <t>0件</t>
        </is>
      </c>
      <c r="D56" s="28" t="inlineStr">
        <is>
          <t>30件以上</t>
        </is>
      </c>
      <c r="E56" s="32" t="inlineStr">
        <is>
          <t>❌</t>
        </is>
      </c>
    </row>
    <row r="57" ht="30" customHeight="1">
      <c r="A57" s="28" t="inlineStr">
        <is>
          <t>Phase 2→3</t>
        </is>
      </c>
      <c r="B57" s="28" t="inlineStr">
        <is>
          <t>掲載工務店数</t>
        </is>
      </c>
      <c r="C57" s="28" t="inlineStr">
        <is>
          <t>0社</t>
        </is>
      </c>
      <c r="D57" s="28" t="inlineStr">
        <is>
          <t>10社以上</t>
        </is>
      </c>
      <c r="E57" s="32" t="inlineStr">
        <is>
          <t>❌</t>
        </is>
      </c>
    </row>
    <row r="58" ht="30" customHeight="1">
      <c r="A58" s="28" t="inlineStr">
        <is>
          <t>Phase 2→3</t>
        </is>
      </c>
      <c r="B58" s="28" t="inlineStr">
        <is>
          <t>プロフィール登録率</t>
        </is>
      </c>
      <c r="C58" s="28" t="inlineStr">
        <is>
          <t>未実装</t>
        </is>
      </c>
      <c r="D58" s="28" t="inlineStr">
        <is>
          <t>登録ユーザーの10%以上</t>
        </is>
      </c>
      <c r="E58" s="32" t="inlineStr">
        <is>
          <t>❌</t>
        </is>
      </c>
    </row>
    <row r="59" ht="30" customHeight="1">
      <c r="A59" s="28" t="inlineStr">
        <is>
          <t>Phase 2→3</t>
        </is>
      </c>
      <c r="B59" s="28" t="inlineStr">
        <is>
          <t>成約データ蓄積</t>
        </is>
      </c>
      <c r="C59" s="28" t="inlineStr">
        <is>
          <t>未着手</t>
        </is>
      </c>
      <c r="D59" s="28" t="inlineStr">
        <is>
          <t>成約50件以上（パターン分析に必要）</t>
        </is>
      </c>
      <c r="E59" s="32" t="inlineStr">
        <is>
          <t>❌</t>
        </is>
      </c>
    </row>
    <row r="62" ht="28" customHeight="1">
      <c r="A62" s="57" t="inlineStr">
        <is>
          <t>【収益ドリブン機能とフェーズの紐付け】</t>
        </is>
      </c>
      <c r="B62" s="58" t="n"/>
      <c r="C62" s="58" t="n"/>
      <c r="D62" s="58" t="n"/>
      <c r="E62" s="58" t="n"/>
      <c r="F62" s="58" t="n"/>
      <c r="G62" s="58" t="n"/>
      <c r="H62" s="58" t="n"/>
      <c r="I62" s="58" t="n"/>
      <c r="J62" s="58" t="n"/>
      <c r="K62" s="58" t="n"/>
      <c r="L62" s="58" t="n"/>
      <c r="M62" s="58" t="n"/>
      <c r="N62" s="58" t="n"/>
    </row>
    <row r="63">
      <c r="A63" s="27" t="inlineStr">
        <is>
          <t>Tier</t>
        </is>
      </c>
      <c r="B63" s="27" t="inlineStr">
        <is>
          <t>フェーズ</t>
        </is>
      </c>
      <c r="C63" s="27" t="inlineStr">
        <is>
          <t>時期</t>
        </is>
      </c>
      <c r="D63" s="27" t="inlineStr">
        <is>
          <t>機能ID</t>
        </is>
      </c>
      <c r="E63" s="27" t="inlineStr">
        <is>
          <t>機能名</t>
        </is>
      </c>
      <c r="F63" s="27" t="inlineStr">
        <is>
          <t>詳細</t>
        </is>
      </c>
      <c r="G63" s="27" t="inlineStr">
        <is>
          <t>売上インパクト</t>
        </is>
      </c>
      <c r="H63" s="27" t="inlineStr">
        <is>
          <t>開発工数</t>
        </is>
      </c>
      <c r="I63" s="27" t="inlineStr">
        <is>
          <t>ステータス</t>
        </is>
      </c>
      <c r="J63" s="58" t="n"/>
      <c r="K63" s="58" t="n"/>
      <c r="L63" s="58" t="n"/>
      <c r="M63" s="58" t="n"/>
      <c r="N63" s="58" t="n"/>
    </row>
    <row r="64" ht="60" customHeight="1">
      <c r="A64" s="52" t="inlineStr">
        <is>
          <t>Tier 1</t>
        </is>
      </c>
      <c r="B64" s="53" t="inlineStr">
        <is>
          <t>Phase 1</t>
        </is>
      </c>
      <c r="C64" s="53" t="inlineStr">
        <is>
          <t>5月前</t>
        </is>
      </c>
      <c r="D64" s="53" t="inlineStr">
        <is>
          <t>F-01</t>
        </is>
      </c>
      <c r="E64" s="53" t="inlineStr">
        <is>
          <t>F-01 [廃止] 資料請求フォーム</t>
        </is>
      </c>
      <c r="F64" s="28" t="inlineStr">
        <is>
          <t>【v4.0で廃止】資料請求はリード質が低いため、会員登録＋AI家づくり診断に置換。F-24/F-25参照。</t>
        </is>
      </c>
      <c r="G64" s="53" t="inlineStr">
        <is>
          <t>0円（廃止）</t>
        </is>
      </c>
      <c r="H64" s="53" t="inlineStr">
        <is>
          <t>済</t>
        </is>
      </c>
      <c r="I64" s="53" t="inlineStr">
        <is>
          <t>🗑 廃止 (v4.0)</t>
        </is>
      </c>
      <c r="J64" s="58" t="n"/>
      <c r="K64" s="58" t="n"/>
      <c r="L64" s="58" t="n"/>
      <c r="M64" s="58" t="n"/>
      <c r="N64" s="58" t="n"/>
    </row>
    <row r="65" ht="60" customHeight="1">
      <c r="A65" s="52" t="inlineStr">
        <is>
          <t>Tier 1</t>
        </is>
      </c>
      <c r="B65" s="53" t="inlineStr">
        <is>
          <t>Phase 1</t>
        </is>
      </c>
      <c r="C65" s="53" t="inlineStr">
        <is>
          <t>5月前</t>
        </is>
      </c>
      <c r="D65" s="53" t="inlineStr">
        <is>
          <t>F-02</t>
        </is>
      </c>
      <c r="E65" s="53" t="inlineStr">
        <is>
          <t>見学会予約フォーム本番稼働</t>
        </is>
      </c>
      <c r="F65" s="28" t="inlineStr">
        <is>
          <t>消費者が見学会を選んで予約→工務店にメール通知→予約数カウント更新。最大の収益源（1件8万円）のため確実な動作が最重要</t>
        </is>
      </c>
      <c r="G65" s="53" t="inlineStr">
        <is>
          <t>年間6,720万円の基盤</t>
        </is>
      </c>
      <c r="H65" s="53" t="inlineStr">
        <is>
          <t>済</t>
        </is>
      </c>
      <c r="I65" s="53" t="inlineStr">
        <is>
          <t>✅ 実装済</t>
        </is>
      </c>
      <c r="J65" s="58" t="n"/>
      <c r="K65" s="58" t="n"/>
      <c r="L65" s="58" t="n"/>
      <c r="M65" s="58" t="n"/>
      <c r="N65" s="58" t="n"/>
    </row>
    <row r="66" ht="60" customHeight="1">
      <c r="A66" s="52" t="inlineStr">
        <is>
          <t>Tier 1</t>
        </is>
      </c>
      <c r="B66" s="53" t="inlineStr">
        <is>
          <t>Phase 1</t>
        </is>
      </c>
      <c r="C66" s="53" t="inlineStr">
        <is>
          <t>5月前</t>
        </is>
      </c>
      <c r="D66" s="53" t="inlineStr">
        <is>
          <t>F-03</t>
        </is>
      </c>
      <c r="E66" s="53" t="inlineStr">
        <is>
          <t>無料相談フォーム本番稼働</t>
        </is>
      </c>
      <c r="F66" s="28" t="inlineStr">
        <is>
          <t>氏名・電話・メール・相談内容を入力して送信。相談リードは将来の見学会参加・成約につながる入口</t>
        </is>
      </c>
      <c r="G66" s="53" t="inlineStr">
        <is>
          <t>リード獲得の入口</t>
        </is>
      </c>
      <c r="H66" s="53" t="inlineStr">
        <is>
          <t>済</t>
        </is>
      </c>
      <c r="I66" s="53" t="inlineStr">
        <is>
          <t>✅ 実装済</t>
        </is>
      </c>
      <c r="J66" s="58" t="n"/>
      <c r="K66" s="58" t="n"/>
      <c r="L66" s="58" t="n"/>
      <c r="M66" s="58" t="n"/>
      <c r="N66" s="58" t="n"/>
    </row>
    <row r="67" ht="60" customHeight="1">
      <c r="A67" s="52" t="inlineStr">
        <is>
          <t>Tier 1</t>
        </is>
      </c>
      <c r="B67" s="53" t="inlineStr">
        <is>
          <t>Phase 1</t>
        </is>
      </c>
      <c r="C67" s="53" t="inlineStr">
        <is>
          <t>5月前</t>
        </is>
      </c>
      <c r="D67" s="53" t="inlineStr">
        <is>
          <t>F-04</t>
        </is>
      </c>
      <c r="E67" s="53" t="inlineStr">
        <is>
          <t>50社分の実データ投入</t>
        </is>
      </c>
      <c r="F67" s="28" t="inlineStr">
        <is>
          <t>50社の企業情報・施工事例写真3〜5枚・坪単価・対応エリア・平屋実績・デザインテイスト・強みをCMS管理画面から入力。掲載基準ガイドに基づく品質統一</t>
        </is>
      </c>
      <c r="G67" s="53" t="inlineStr">
        <is>
          <t>全収益の前提</t>
        </is>
      </c>
      <c r="H67" s="53" t="inlineStr">
        <is>
          <t>2週間</t>
        </is>
      </c>
      <c r="I67" s="53" t="inlineStr">
        <is>
          <t>❌ 未着手</t>
        </is>
      </c>
      <c r="J67" s="58" t="n"/>
      <c r="K67" s="58" t="n"/>
      <c r="L67" s="58" t="n"/>
      <c r="M67" s="58" t="n"/>
      <c r="N67" s="58" t="n"/>
    </row>
    <row r="68" ht="60" customHeight="1">
      <c r="A68" s="52" t="inlineStr">
        <is>
          <t>Tier 1</t>
        </is>
      </c>
      <c r="B68" s="53" t="inlineStr">
        <is>
          <t>Phase 1</t>
        </is>
      </c>
      <c r="C68" s="53" t="inlineStr">
        <is>
          <t>5月前</t>
        </is>
      </c>
      <c r="D68" s="53" t="inlineStr">
        <is>
          <t>F-05</t>
        </is>
      </c>
      <c r="E68" s="53" t="inlineStr">
        <is>
          <t>リード通知メール本番稼働</t>
        </is>
      </c>
      <c r="F68" s="28" t="inlineStr">
        <is>
          <t>Resend APIで工務店担当者に即時通知。件名・本文にリード情報（氏名・連絡先・問い合わせ内容・閲覧履歴）を含める</t>
        </is>
      </c>
      <c r="G68" s="53" t="inlineStr">
        <is>
          <t>工務店信頼に直結</t>
        </is>
      </c>
      <c r="H68" s="53" t="inlineStr">
        <is>
          <t>3日</t>
        </is>
      </c>
      <c r="I68" s="53" t="inlineStr">
        <is>
          <t>✅ 実装済</t>
        </is>
      </c>
      <c r="J68" s="58" t="n"/>
      <c r="K68" s="58" t="n"/>
      <c r="L68" s="58" t="n"/>
      <c r="M68" s="58" t="n"/>
      <c r="N68" s="58" t="n"/>
    </row>
    <row r="69" ht="60" customHeight="1">
      <c r="A69" s="52" t="inlineStr">
        <is>
          <t>Tier 1</t>
        </is>
      </c>
      <c r="B69" s="53" t="inlineStr">
        <is>
          <t>Phase 1</t>
        </is>
      </c>
      <c r="C69" s="53" t="inlineStr">
        <is>
          <t>5月前</t>
        </is>
      </c>
      <c r="D69" s="53" t="inlineStr">
        <is>
          <t>F-06</t>
        </is>
      </c>
      <c r="E69" s="53" t="inlineStr">
        <is>
          <t>AIチャット本番稼働</t>
        </is>
      </c>
      <c r="F69" s="28" t="inlineStr">
        <is>
          <t>GPT-4oのプロンプトに50社の工務店情報を反映。FAQ回答精度の検証。月間APIコスト上限$100の設定確認</t>
        </is>
      </c>
      <c r="G69" s="53" t="inlineStr">
        <is>
          <t>相談→リード化</t>
        </is>
      </c>
      <c r="H69" s="53" t="inlineStr">
        <is>
          <t>1週間</t>
        </is>
      </c>
      <c r="I69" s="53" t="inlineStr">
        <is>
          <t>✅ 実装済</t>
        </is>
      </c>
      <c r="J69" s="58" t="n"/>
      <c r="K69" s="58" t="n"/>
      <c r="L69" s="58" t="n"/>
      <c r="M69" s="58" t="n"/>
      <c r="N69" s="58" t="n"/>
    </row>
    <row r="70" ht="60" customHeight="1">
      <c r="A70" s="54" t="inlineStr">
        <is>
          <t>Tier 2</t>
        </is>
      </c>
      <c r="B70" s="53" t="inlineStr">
        <is>
          <t>Phase 1</t>
        </is>
      </c>
      <c r="C70" s="53" t="inlineStr">
        <is>
          <t>5月中</t>
        </is>
      </c>
      <c r="D70" s="53" t="inlineStr">
        <is>
          <t>F-07</t>
        </is>
      </c>
      <c r="E70" s="53" t="inlineStr">
        <is>
          <t>F-07 [廃止] まとめて資料請求（3社一括）</t>
        </is>
      </c>
      <c r="F70" s="28" t="inlineStr">
        <is>
          <t>【v4.0で廃止】工務店ヒアリング結果、資料請求リードの成約率が極めて低いことが判明。AI診断経由の工務店レコメンド（F-25）で代替する。</t>
        </is>
      </c>
      <c r="G70" s="53" t="inlineStr">
        <is>
          <t>0円（廃止）</t>
        </is>
      </c>
      <c r="H70" s="53" t="inlineStr">
        <is>
          <t>1週間</t>
        </is>
      </c>
      <c r="I70" s="53" t="inlineStr">
        <is>
          <t>🗑 廃止 (v4.0)</t>
        </is>
      </c>
      <c r="J70" s="58" t="n"/>
      <c r="K70" s="58" t="n"/>
      <c r="L70" s="58" t="n"/>
      <c r="M70" s="58" t="n"/>
      <c r="N70" s="58" t="n"/>
    </row>
    <row r="71" ht="60" customHeight="1">
      <c r="A71" s="54" t="inlineStr">
        <is>
          <t>Tier 2</t>
        </is>
      </c>
      <c r="B71" s="53" t="inlineStr">
        <is>
          <t>Phase 1</t>
        </is>
      </c>
      <c r="C71" s="53" t="inlineStr">
        <is>
          <t>5月中</t>
        </is>
      </c>
      <c r="D71" s="53" t="inlineStr">
        <is>
          <t>F-08</t>
        </is>
      </c>
      <c r="E71" s="53" t="inlineStr">
        <is>
          <t>見学会残席表示＋今週末特集</t>
        </is>
      </c>
      <c r="F71" s="28" t="inlineStr">
        <is>
          <t>eventsにcapacity/reserved_countを追加。「残り○組」バッジ表示。残席3以下で「残りわずか」、0で「満席」。TOPに「今週末の見学会」セクション自動表示</t>
        </is>
      </c>
      <c r="G71" s="53" t="inlineStr">
        <is>
          <t>年間+1,920万円</t>
        </is>
      </c>
      <c r="H71" s="53" t="inlineStr">
        <is>
          <t>1週間</t>
        </is>
      </c>
      <c r="I71" s="53" t="inlineStr">
        <is>
          <t>❌ 未着手</t>
        </is>
      </c>
      <c r="J71" s="58" t="n"/>
      <c r="K71" s="58" t="n"/>
      <c r="L71" s="58" t="n"/>
      <c r="M71" s="58" t="n"/>
      <c r="N71" s="58" t="n"/>
    </row>
    <row r="72" ht="60" customHeight="1">
      <c r="A72" s="54" t="inlineStr">
        <is>
          <t>Tier 2</t>
        </is>
      </c>
      <c r="B72" s="53" t="inlineStr">
        <is>
          <t>Phase 1</t>
        </is>
      </c>
      <c r="C72" s="53" t="inlineStr">
        <is>
          <t>5月中</t>
        </is>
      </c>
      <c r="D72" s="53" t="inlineStr">
        <is>
          <t>F-09</t>
        </is>
      </c>
      <c r="E72" s="53" t="inlineStr">
        <is>
          <t>工務店比較機能</t>
        </is>
      </c>
      <c r="F72" s="28" t="inlineStr">
        <is>
          <t>2〜3社を選択して横並び比較表を表示。比較項目：坪単価・対応エリア・平屋実績・デザイン・断熱/耐震。比較画面下部に「見学会予約」ボタン（会員限定機能）</t>
        </is>
      </c>
      <c r="G72" s="53" t="inlineStr">
        <is>
          <t>CV率向上</t>
        </is>
      </c>
      <c r="H72" s="53" t="inlineStr">
        <is>
          <t>2週間</t>
        </is>
      </c>
      <c r="I72" s="53" t="inlineStr">
        <is>
          <t>❌ 未着手</t>
        </is>
      </c>
      <c r="J72" s="58" t="n"/>
      <c r="K72" s="58" t="n"/>
      <c r="L72" s="58" t="n"/>
      <c r="M72" s="58" t="n"/>
      <c r="N72" s="58" t="n"/>
    </row>
    <row r="73" ht="60" customHeight="1">
      <c r="A73" s="54" t="inlineStr">
        <is>
          <t>Tier 2</t>
        </is>
      </c>
      <c r="B73" s="53" t="inlineStr">
        <is>
          <t>Phase 1</t>
        </is>
      </c>
      <c r="C73" s="53" t="inlineStr">
        <is>
          <t>5月中</t>
        </is>
      </c>
      <c r="D73" s="53" t="inlineStr">
        <is>
          <t>F-10</t>
        </is>
      </c>
      <c r="E73" s="53" t="inlineStr">
        <is>
          <t>フィルター検索</t>
        </is>
      </c>
      <c r="F73" s="28" t="inlineStr">
        <is>
          <t>工務店一覧にフィルターUI。項目：エリア・価格帯（〜1,500万/1,500〜2,500万/2,500万〜）・特徴（家事動線/中庭/ガレージ/コンパクト/バリアフリー）</t>
        </is>
      </c>
      <c r="G73" s="53" t="inlineStr">
        <is>
          <t>UX向上</t>
        </is>
      </c>
      <c r="H73" s="53" t="inlineStr">
        <is>
          <t>1週間</t>
        </is>
      </c>
      <c r="I73" s="53" t="inlineStr">
        <is>
          <t>❌ 未着手</t>
        </is>
      </c>
      <c r="J73" s="58" t="n"/>
      <c r="K73" s="58" t="n"/>
      <c r="L73" s="58" t="n"/>
      <c r="M73" s="58" t="n"/>
      <c r="N73" s="58" t="n"/>
    </row>
    <row r="74" ht="60" customHeight="1">
      <c r="A74" s="54" t="inlineStr">
        <is>
          <t>Tier 2</t>
        </is>
      </c>
      <c r="B74" s="53" t="inlineStr">
        <is>
          <t>Phase 1</t>
        </is>
      </c>
      <c r="C74" s="53" t="inlineStr">
        <is>
          <t>5月中</t>
        </is>
      </c>
      <c r="D74" s="53" t="inlineStr">
        <is>
          <t>F-11</t>
        </is>
      </c>
      <c r="E74" s="53" t="inlineStr">
        <is>
          <t>お気に入り強化</t>
        </is>
      </c>
      <c r="F74" s="28" t="inlineStr">
        <is>
          <t>お気に入り工務店が見学会を開催する際にメール通知を送信。「お気に入りの○○工務店が見学会を開催します」。再訪率・見学会予約率の向上</t>
        </is>
      </c>
      <c r="G74" s="53" t="inlineStr">
        <is>
          <t>再訪率向上</t>
        </is>
      </c>
      <c r="H74" s="53" t="inlineStr">
        <is>
          <t>3日</t>
        </is>
      </c>
      <c r="I74" s="53" t="inlineStr">
        <is>
          <t>❌ 未着手</t>
        </is>
      </c>
      <c r="J74" s="58" t="n"/>
      <c r="K74" s="58" t="n"/>
      <c r="L74" s="58" t="n"/>
      <c r="M74" s="58" t="n"/>
      <c r="N74" s="58" t="n"/>
    </row>
    <row r="75" ht="60" customHeight="1">
      <c r="A75" t="inlineStr">
        <is>
          <t>Tier 1</t>
        </is>
      </c>
      <c r="B75" t="inlineStr">
        <is>
          <t>Phase 1</t>
        </is>
      </c>
      <c r="C75" t="inlineStr">
        <is>
          <t>4月中</t>
        </is>
      </c>
      <c r="D75" t="inlineStr">
        <is>
          <t>F-24</t>
        </is>
      </c>
      <c r="E75" t="inlineStr">
        <is>
          <t>会員登録フロー</t>
        </is>
      </c>
      <c r="F75" t="inlineStr">
        <is>
          <t>会員登録API + サインアップ/ログイン画面 + SessionProvider + middleware role gating + 匿名ID→会員IDマージ（user_events / favorites / chat_sessions / diagnosis_sessions）</t>
        </is>
      </c>
      <c r="G75" t="inlineStr">
        <is>
          <t>全機能の前提基盤</t>
        </is>
      </c>
      <c r="H75" t="inlineStr">
        <is>
          <t>3日</t>
        </is>
      </c>
      <c r="I75" t="inlineStr">
        <is>
          <t>✅ 実装済 (2026-04-10)</t>
        </is>
      </c>
    </row>
    <row r="76" ht="60" customHeight="1">
      <c r="A76" t="inlineStr">
        <is>
          <t>Tier 1</t>
        </is>
      </c>
      <c r="B76" t="inlineStr">
        <is>
          <t>Phase 1</t>
        </is>
      </c>
      <c r="C76" t="inlineStr">
        <is>
          <t>4月中</t>
        </is>
      </c>
      <c r="D76" t="inlineStr">
        <is>
          <t>F-25</t>
        </is>
      </c>
      <c r="E76" t="inlineStr">
        <is>
          <t>AI家づくり診断</t>
        </is>
      </c>
      <c r="F76" t="inlineStr">
        <is>
          <t>10問の質問→ユーザータイプ7種分類→工務店3社をマッチ度スコア付きで推薦。user_profiles / diagnosis_sessions テーブル新設。非会員でも利用可、会員は結果保存可</t>
        </is>
      </c>
      <c r="G76" t="inlineStr">
        <is>
          <t>主要CVの起点</t>
        </is>
      </c>
      <c r="H76" t="inlineStr">
        <is>
          <t>5日</t>
        </is>
      </c>
      <c r="I76" t="inlineStr">
        <is>
          <t>✅ 実装済 (2026-04-10)</t>
        </is>
      </c>
    </row>
    <row r="77" ht="60" customHeight="1">
      <c r="A77" t="inlineStr">
        <is>
          <t>Tier 1</t>
        </is>
      </c>
      <c r="B77" t="inlineStr">
        <is>
          <t>Phase 1</t>
        </is>
      </c>
      <c r="C77" t="inlineStr">
        <is>
          <t>4月中</t>
        </is>
      </c>
      <c r="D77" t="inlineStr">
        <is>
          <t>F-27</t>
        </is>
      </c>
      <c r="E77" t="inlineStr">
        <is>
          <t>動画詳細の見学会予約セクション</t>
        </is>
      </c>
      <c r="F77" t="inlineStr">
        <is>
          <t>物件詳細ページ最上部に「この家の見学会を予約する」CTAを設置（モデルハウス限定）。既存の資料請求CTAを「AI家づくり診断」CTAに置換</t>
        </is>
      </c>
      <c r="G77" t="inlineStr">
        <is>
          <t>動画→予約の最短動線</t>
        </is>
      </c>
      <c r="H77" t="inlineStr">
        <is>
          <t>2日</t>
        </is>
      </c>
      <c r="I77" t="inlineStr">
        <is>
          <t>✅ 実装済 (2026-04-10)</t>
        </is>
      </c>
    </row>
    <row r="78" ht="60" customHeight="1">
      <c r="A78" t="inlineStr">
        <is>
          <t>Tier 1</t>
        </is>
      </c>
      <c r="B78" t="inlineStr">
        <is>
          <t>Phase 1</t>
        </is>
      </c>
      <c r="C78" t="inlineStr">
        <is>
          <t>4月中</t>
        </is>
      </c>
      <c r="D78" t="inlineStr">
        <is>
          <t>F-28</t>
        </is>
      </c>
      <c r="E78" t="inlineStr">
        <is>
          <t>工務店個別ページ作成とCTA変更</t>
        </is>
      </c>
      <c r="F78" t="inlineStr">
        <is>
          <t>/builders/[id] 詳細ページを新設。会社概要・得意分野・年間施工棟数・開催予定見学会を表示。CTAは見学会予約（主）＋AI診断（副）。資料請求CTAは排除</t>
        </is>
      </c>
      <c r="G78" t="inlineStr">
        <is>
          <t>工務店ブランディング</t>
        </is>
      </c>
      <c r="H78" t="inlineStr">
        <is>
          <t>1日</t>
        </is>
      </c>
      <c r="I78" t="inlineStr">
        <is>
          <t>✅ 実装済 (2026-04-10)</t>
        </is>
      </c>
    </row>
    <row r="79" ht="60" customHeight="1">
      <c r="A79" t="inlineStr">
        <is>
          <t>Tier 2</t>
        </is>
      </c>
      <c r="B79" t="inlineStr">
        <is>
          <t>Phase 2</t>
        </is>
      </c>
      <c r="C79" t="inlineStr">
        <is>
          <t>5〜6月</t>
        </is>
      </c>
      <c r="D79" t="inlineStr">
        <is>
          <t>F-29</t>
        </is>
      </c>
      <c r="E79" t="inlineStr">
        <is>
          <t>機能②工務店レコメンドAPI</t>
        </is>
      </c>
      <c r="F79" t="inlineStr">
        <is>
          <t>閲覧履歴・お気に入り・診断結果からハイブリッド推薦を返す /api/ai/recommend/builders を新設。TOPと物件詳細に動的表示</t>
        </is>
      </c>
      <c r="G79" t="inlineStr">
        <is>
          <t>CV率+15%見込</t>
        </is>
      </c>
      <c r="H79" t="inlineStr">
        <is>
          <t>1週間</t>
        </is>
      </c>
      <c r="I79" t="inlineStr">
        <is>
          <t>🔲 未着手</t>
        </is>
      </c>
    </row>
    <row r="80" ht="60" customHeight="1">
      <c r="A80" s="55" t="inlineStr">
        <is>
          <t>Tier 3</t>
        </is>
      </c>
      <c r="B80" s="53" t="inlineStr">
        <is>
          <t>Phase 2</t>
        </is>
      </c>
      <c r="C80" s="53" t="inlineStr">
        <is>
          <t>6〜7月</t>
        </is>
      </c>
      <c r="D80" s="53" t="inlineStr">
        <is>
          <t>F-12</t>
        </is>
      </c>
      <c r="E80" s="53" t="inlineStr">
        <is>
          <t>消費者フォローメール自動配信</t>
        </is>
      </c>
      <c r="F80" s="28" t="inlineStr">
        <is>
          <t>リード発生後9通の自動配信。3日後「連絡ありましたか？」→1週間後→1ヶ月後→3ヶ月後「ご契約は？」のアンケート付き。成約把握率を50%→85%に改善し回収漏れを防止</t>
        </is>
      </c>
      <c r="G80" s="53" t="inlineStr">
        <is>
          <t>年間+500万円</t>
        </is>
      </c>
      <c r="H80" s="53" t="inlineStr">
        <is>
          <t>1週間</t>
        </is>
      </c>
      <c r="I80" s="53" t="inlineStr">
        <is>
          <t>❌ 未着手</t>
        </is>
      </c>
      <c r="J80" s="58" t="n"/>
      <c r="K80" s="58" t="n"/>
      <c r="L80" s="58" t="n"/>
      <c r="M80" s="58" t="n"/>
      <c r="N80" s="58" t="n"/>
    </row>
    <row r="81" ht="60" customHeight="1">
      <c r="A81" s="55" t="inlineStr">
        <is>
          <t>Tier 3</t>
        </is>
      </c>
      <c r="B81" s="53" t="inlineStr">
        <is>
          <t>Phase 2</t>
        </is>
      </c>
      <c r="C81" s="53" t="inlineStr">
        <is>
          <t>6〜7月</t>
        </is>
      </c>
      <c r="D81" s="53" t="inlineStr">
        <is>
          <t>F-13</t>
        </is>
      </c>
      <c r="E81" s="53" t="inlineStr">
        <is>
          <t>OBの声セクション</t>
        </is>
      </c>
      <c r="F81" s="28" t="inlineStr">
        <is>
          <t>工務店詳細に「この工務店で建てた方の声」を追加。テキスト＋写真で3〜5件のOBレビュー。「建てて良かった」の声が成約の最後の一押し</t>
        </is>
      </c>
      <c r="G81" s="53" t="inlineStr">
        <is>
          <t>成約率向上</t>
        </is>
      </c>
      <c r="H81" s="53" t="inlineStr">
        <is>
          <t>1週間</t>
        </is>
      </c>
      <c r="I81" s="53" t="inlineStr">
        <is>
          <t>❌ 未着手</t>
        </is>
      </c>
      <c r="J81" s="58" t="n"/>
      <c r="K81" s="58" t="n"/>
      <c r="L81" s="58" t="n"/>
      <c r="M81" s="58" t="n"/>
      <c r="N81" s="58" t="n"/>
    </row>
    <row r="82" ht="60" customHeight="1">
      <c r="A82" s="55" t="inlineStr">
        <is>
          <t>Tier 3</t>
        </is>
      </c>
      <c r="B82" s="53" t="inlineStr">
        <is>
          <t>Phase 2</t>
        </is>
      </c>
      <c r="C82" s="53" t="inlineStr">
        <is>
          <t>6〜7月</t>
        </is>
      </c>
      <c r="D82" s="53" t="inlineStr">
        <is>
          <t>F-14</t>
        </is>
      </c>
      <c r="E82" s="53" t="inlineStr">
        <is>
          <t>AIチャット→工務店推薦</t>
        </is>
      </c>
      <c r="F82" s="28" t="inlineStr">
        <is>
          <t>会話中に「御社の条件なら○○工務店がおすすめです。今週末の見学会はいかがですか？」と推薦。エリア・予算・こだわりを抽出→フィルター→推薦生成</t>
        </is>
      </c>
      <c r="G82" s="53" t="inlineStr">
        <is>
          <t>CV率向上</t>
        </is>
      </c>
      <c r="H82" s="53" t="inlineStr">
        <is>
          <t>2週間</t>
        </is>
      </c>
      <c r="I82" s="53" t="inlineStr">
        <is>
          <t>❌ 未着手</t>
        </is>
      </c>
      <c r="J82" s="58" t="n"/>
      <c r="K82" s="58" t="n"/>
      <c r="L82" s="58" t="n"/>
      <c r="M82" s="58" t="n"/>
      <c r="N82" s="58" t="n"/>
    </row>
    <row r="83" ht="60" customHeight="1">
      <c r="A83" s="55" t="inlineStr">
        <is>
          <t>Tier 3</t>
        </is>
      </c>
      <c r="B83" s="53" t="inlineStr">
        <is>
          <t>Phase 2</t>
        </is>
      </c>
      <c r="C83" s="53" t="inlineStr">
        <is>
          <t>6〜7月</t>
        </is>
      </c>
      <c r="D83" s="53" t="inlineStr">
        <is>
          <t>F-15</t>
        </is>
      </c>
      <c r="E83" s="53" t="inlineStr">
        <is>
          <t>見学会カレンダー表示</t>
        </is>
      </c>
      <c r="F83" s="28" t="inlineStr">
        <is>
          <t>月間カレンダー形式で全工務店の見学会を一覧表示。日付クリックでその日の見学会一覧。「来週の土曜日どこかやってないかな」に対応</t>
        </is>
      </c>
      <c r="G83" s="53" t="inlineStr">
        <is>
          <t>発見率向上</t>
        </is>
      </c>
      <c r="H83" s="53" t="inlineStr">
        <is>
          <t>1週間</t>
        </is>
      </c>
      <c r="I83" s="53" t="inlineStr">
        <is>
          <t>❌ 未着手</t>
        </is>
      </c>
      <c r="J83" s="58" t="n"/>
      <c r="K83" s="58" t="n"/>
      <c r="L83" s="58" t="n"/>
      <c r="M83" s="58" t="n"/>
      <c r="N83" s="58" t="n"/>
    </row>
    <row r="84" ht="60" customHeight="1">
      <c r="A84" s="55" t="inlineStr">
        <is>
          <t>Tier 3</t>
        </is>
      </c>
      <c r="B84" s="53" t="inlineStr">
        <is>
          <t>Phase 2</t>
        </is>
      </c>
      <c r="C84" s="53" t="inlineStr">
        <is>
          <t>6〜7月</t>
        </is>
      </c>
      <c r="D84" s="53" t="inlineStr">
        <is>
          <t>F-16</t>
        </is>
      </c>
      <c r="E84" s="53" t="inlineStr">
        <is>
          <t>LINE通知連携</t>
        </is>
      </c>
      <c r="F84" s="28" t="inlineStr">
        <is>
          <t>リード発生時にLINE公式経由で工務店に通知。メールは見逃すがLINEはすぐ見る。LINE Messaging API使用。掲載プロの付加価値</t>
        </is>
      </c>
      <c r="G84" s="53" t="inlineStr">
        <is>
          <t>対応速度向上</t>
        </is>
      </c>
      <c r="H84" s="53" t="inlineStr">
        <is>
          <t>1週間</t>
        </is>
      </c>
      <c r="I84" s="53" t="inlineStr">
        <is>
          <t>❌ 未着手</t>
        </is>
      </c>
      <c r="J84" s="58" t="n"/>
      <c r="K84" s="58" t="n"/>
      <c r="L84" s="58" t="n"/>
      <c r="M84" s="58" t="n"/>
      <c r="N84" s="58" t="n"/>
    </row>
    <row r="85" ht="60" customHeight="1">
      <c r="A85" s="56" t="inlineStr">
        <is>
          <t>Tier 4</t>
        </is>
      </c>
      <c r="B85" s="53" t="inlineStr">
        <is>
          <t>Phase 2+</t>
        </is>
      </c>
      <c r="C85" s="53" t="inlineStr">
        <is>
          <t>8月以降</t>
        </is>
      </c>
      <c r="D85" s="53" t="inlineStr">
        <is>
          <t>F-17</t>
        </is>
      </c>
      <c r="E85" s="53" t="inlineStr">
        <is>
          <t>GA4カスタムイベント</t>
        </is>
      </c>
      <c r="F85" s="28" t="inlineStr">
        <is>
          <t>page_view/article_read/video_view/builder_detail_view/favorite_add/comparison_add/chat_start/reservation_submit等をGA4に送信</t>
        </is>
      </c>
      <c r="G85" s="53" t="inlineStr">
        <is>
          <t>データ基盤</t>
        </is>
      </c>
      <c r="H85" s="53" t="inlineStr">
        <is>
          <t>1週間</t>
        </is>
      </c>
      <c r="I85" s="53" t="inlineStr">
        <is>
          <t>❌ 未着手</t>
        </is>
      </c>
      <c r="J85" s="58" t="n"/>
      <c r="K85" s="58" t="n"/>
      <c r="L85" s="58" t="n"/>
      <c r="M85" s="58" t="n"/>
      <c r="N85" s="58" t="n"/>
    </row>
    <row r="86" ht="60" customHeight="1">
      <c r="A86" s="56" t="inlineStr">
        <is>
          <t>Tier 4</t>
        </is>
      </c>
      <c r="B86" s="53" t="inlineStr">
        <is>
          <t>Phase 2+</t>
        </is>
      </c>
      <c r="C86" s="53" t="inlineStr">
        <is>
          <t>8月以降</t>
        </is>
      </c>
      <c r="D86" s="53" t="inlineStr">
        <is>
          <t>F-18</t>
        </is>
      </c>
      <c r="E86" s="53" t="inlineStr">
        <is>
          <t>ユーザーダッシュボード</t>
        </is>
      </c>
      <c r="F86" s="28" t="inlineStr">
        <is>
          <t>マイページにお気に入り・閲覧履歴・相談履歴・資料請求履歴をライブデータ表示。Supabaseのfavorites/user_events/chat_sessionsから取得</t>
        </is>
      </c>
      <c r="G86" s="53" t="inlineStr">
        <is>
          <t>ユーザー体験</t>
        </is>
      </c>
      <c r="H86" s="53" t="inlineStr">
        <is>
          <t>2週間</t>
        </is>
      </c>
      <c r="I86" s="53" t="inlineStr">
        <is>
          <t>❌ 未着手</t>
        </is>
      </c>
      <c r="J86" s="58" t="n"/>
      <c r="K86" s="58" t="n"/>
      <c r="L86" s="58" t="n"/>
      <c r="M86" s="58" t="n"/>
      <c r="N86" s="58" t="n"/>
    </row>
    <row r="87">
      <c r="A87" s="56" t="inlineStr">
        <is>
          <t>Tier 4</t>
        </is>
      </c>
      <c r="B87" s="53" t="inlineStr">
        <is>
          <t>Phase 2+</t>
        </is>
      </c>
      <c r="C87" s="53" t="inlineStr">
        <is>
          <t>8月以降</t>
        </is>
      </c>
      <c r="D87" s="53" t="inlineStr">
        <is>
          <t>F-19</t>
        </is>
      </c>
      <c r="E87" s="53" t="inlineStr">
        <is>
          <t>工務店ダッシュボード</t>
        </is>
      </c>
      <c r="F87" s="28" t="inlineStr">
        <is>
          <t>月間PV・リード数・反響単価・前月比を工務店がログインして確認。リード一覧・ステータス更新・見学会管理・請求確認。掲載プロの主要付加価値</t>
        </is>
      </c>
      <c r="G87" s="53" t="inlineStr">
        <is>
          <t>工務店向け付加価値</t>
        </is>
      </c>
      <c r="H87" s="53" t="inlineStr">
        <is>
          <t>3週間</t>
        </is>
      </c>
      <c r="I87" s="53" t="inlineStr">
        <is>
          <t>❌ 未着手</t>
        </is>
      </c>
      <c r="J87" s="58" t="n"/>
      <c r="K87" s="58" t="n"/>
      <c r="L87" s="58" t="n"/>
      <c r="M87" s="58" t="n"/>
      <c r="N87" s="58" t="n"/>
    </row>
    <row r="88">
      <c r="A88" s="56" t="inlineStr">
        <is>
          <t>Tier 4</t>
        </is>
      </c>
      <c r="B88" s="53" t="inlineStr">
        <is>
          <t>Phase 2+</t>
        </is>
      </c>
      <c r="C88" s="53" t="inlineStr">
        <is>
          <t>8月以降</t>
        </is>
      </c>
      <c r="D88" s="53" t="inlineStr">
        <is>
          <t>F-20</t>
        </is>
      </c>
      <c r="E88" s="53" t="inlineStr">
        <is>
          <t>CMS構造化データフォーム</t>
        </is>
      </c>
      <c r="F88" s="28" t="inlineStr">
        <is>
          <t>エリア・価格帯・平屋比率・間取り傾向・デザイン・断熱/耐震・家事動線・中庭・子育て/老後向き・顧客像・強み/弱みを構造化入力</t>
        </is>
      </c>
      <c r="G88" s="53" t="inlineStr">
        <is>
          <t>AI推薦の基盤</t>
        </is>
      </c>
      <c r="H88" s="53" t="inlineStr">
        <is>
          <t>2週間</t>
        </is>
      </c>
      <c r="I88" s="53" t="inlineStr">
        <is>
          <t>❌ 未着手</t>
        </is>
      </c>
      <c r="J88" s="58" t="n"/>
      <c r="K88" s="58" t="n"/>
      <c r="L88" s="58" t="n"/>
      <c r="M88" s="58" t="n"/>
      <c r="N88" s="58" t="n"/>
    </row>
    <row r="89">
      <c r="A89" s="56" t="inlineStr">
        <is>
          <t>Tier 4</t>
        </is>
      </c>
      <c r="B89" s="53" t="inlineStr">
        <is>
          <t>Phase 3</t>
        </is>
      </c>
      <c r="C89" s="53" t="inlineStr">
        <is>
          <t>8月以降</t>
        </is>
      </c>
      <c r="D89" s="53" t="inlineStr">
        <is>
          <t>F-21</t>
        </is>
      </c>
      <c r="E89" s="53" t="inlineStr">
        <is>
          <t>AI意向抽出・会話要約</t>
        </is>
      </c>
      <c r="F89" s="28" t="inlineStr">
        <is>
          <t>チャットログからinferred_intent・extracted_tags・conversation_summaryを自動生成。GPT-4oでバッチ処理。工務店への意向要約レポートの素材</t>
        </is>
      </c>
      <c r="G89" s="53" t="inlineStr">
        <is>
          <t>AI高度化</t>
        </is>
      </c>
      <c r="H89" s="53" t="inlineStr">
        <is>
          <t>3週間</t>
        </is>
      </c>
      <c r="I89" s="53" t="inlineStr">
        <is>
          <t>❌ 未着手</t>
        </is>
      </c>
      <c r="J89" s="58" t="n"/>
      <c r="K89" s="58" t="n"/>
      <c r="L89" s="58" t="n"/>
      <c r="M89" s="58" t="n"/>
      <c r="N89" s="58" t="n"/>
    </row>
    <row r="90">
      <c r="A90" s="56" t="inlineStr">
        <is>
          <t>Tier 4</t>
        </is>
      </c>
      <c r="B90" s="53" t="inlineStr">
        <is>
          <t>Phase 3</t>
        </is>
      </c>
      <c r="C90" s="53" t="inlineStr">
        <is>
          <t>8月以降</t>
        </is>
      </c>
      <c r="D90" s="53" t="inlineStr">
        <is>
          <t>F-22</t>
        </is>
      </c>
      <c r="E90" s="53" t="inlineStr">
        <is>
          <t>ユーザープロフィール登録</t>
        </is>
      </c>
      <c r="F90" s="28" t="inlineStr">
        <is>
          <t>家族構成・年齢層・建築予定時期・土地有無・希望エリア・予算帯・デザイン志向・性能志向・検討フェーズを登録。user_profilesテーブル保存</t>
        </is>
      </c>
      <c r="G90" s="53" t="inlineStr">
        <is>
          <t>AI推薦精度</t>
        </is>
      </c>
      <c r="H90" s="53" t="inlineStr">
        <is>
          <t>2週間</t>
        </is>
      </c>
      <c r="I90" s="53" t="inlineStr">
        <is>
          <t>❌ 未着手</t>
        </is>
      </c>
      <c r="J90" s="58" t="n"/>
      <c r="K90" s="58" t="n"/>
      <c r="L90" s="58" t="n"/>
      <c r="M90" s="58" t="n"/>
      <c r="N90" s="58" t="n"/>
    </row>
    <row r="91">
      <c r="A91" s="56" t="inlineStr">
        <is>
          <t>Tier 4</t>
        </is>
      </c>
      <c r="B91" s="53" t="inlineStr">
        <is>
          <t>Phase 3</t>
        </is>
      </c>
      <c r="C91" s="53" t="inlineStr">
        <is>
          <t>8月以降</t>
        </is>
      </c>
      <c r="D91" s="53" t="inlineStr">
        <is>
          <t>F-23</t>
        </is>
      </c>
      <c r="E91" s="53" t="inlineStr">
        <is>
          <t>リード自動スコアリング</t>
        </is>
      </c>
      <c r="F91" s="28" t="inlineStr">
        <is>
          <t>行動データ（PV数・滞在時間・お気に入り数・比較回数・チャット利用・資料請求有無）から0〜100点を自動算出。Hot/Warm/Coldランク付け</t>
        </is>
      </c>
      <c r="G91" s="53" t="inlineStr">
        <is>
          <t>営業効率化</t>
        </is>
      </c>
      <c r="H91" s="53" t="inlineStr">
        <is>
          <t>2週間</t>
        </is>
      </c>
      <c r="I91" s="53" t="inlineStr">
        <is>
          <t>❌ 未着手</t>
        </is>
      </c>
      <c r="J91" s="58" t="n"/>
      <c r="K91" s="58" t="n"/>
      <c r="L91" s="58" t="n"/>
      <c r="M91" s="58" t="n"/>
      <c r="N91" s="58" t="n"/>
    </row>
    <row r="92">
      <c r="A92" s="58" t="n"/>
      <c r="B92" s="58" t="n"/>
      <c r="C92" s="58" t="n"/>
      <c r="D92" s="58" t="n"/>
      <c r="E92" s="58" t="n"/>
      <c r="F92" s="58" t="n"/>
      <c r="G92" s="58" t="n"/>
      <c r="H92" s="58" t="n"/>
      <c r="I92" s="58" t="n"/>
      <c r="J92" s="58" t="n"/>
      <c r="K92" s="58" t="n"/>
      <c r="L92" s="58" t="n"/>
      <c r="M92" s="58" t="n"/>
      <c r="N92" s="58" t="n"/>
    </row>
  </sheetData>
  <dataValidations count="2">
    <dataValidation sqref="D12:D21 D25:D34 D38:D44" showDropDown="0" showInputMessage="0" showErrorMessage="0" allowBlank="1" errorTitle="無効な値" error="ステータスを選択してください" type="list">
      <formula1>"✅ 完了,🔧 進行中,⚠️ 部分的,❌ 未実装,📋 未着手"</formula1>
    </dataValidation>
    <dataValidation sqref="E49:E59" showDropDown="0" showInputMessage="0" showErrorMessage="0" allowBlank="1" type="list">
      <formula1>"❌,✅"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6600"/>
    <outlinePr summaryBelow="1" summaryRight="1"/>
    <pageSetUpPr/>
  </sheetPr>
  <dimension ref="A1:V54"/>
  <sheetViews>
    <sheetView workbookViewId="0">
      <pane xSplit="9" ySplit="1" topLeftCell="J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30" customWidth="1" min="4" max="4"/>
    <col width="7" customWidth="1" min="5" max="5"/>
    <col width="7" customWidth="1" min="6" max="6"/>
    <col width="5" customWidth="1" min="7" max="7"/>
    <col width="8" customWidth="1" min="8" max="8"/>
    <col width="6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</cols>
  <sheetData>
    <row r="1">
      <c r="A1" s="4" t="inlineStr">
        <is>
          <t>ID</t>
        </is>
      </c>
      <c r="B1" s="4" t="inlineStr">
        <is>
          <t>担当</t>
        </is>
      </c>
      <c r="C1" s="4" t="inlineStr">
        <is>
          <t>カテゴリ</t>
        </is>
      </c>
      <c r="D1" s="4" t="inlineStr">
        <is>
          <t>タスク名</t>
        </is>
      </c>
      <c r="E1" s="4" t="inlineStr">
        <is>
          <t>開始日</t>
        </is>
      </c>
      <c r="F1" s="4" t="inlineStr">
        <is>
          <t>終了日</t>
        </is>
      </c>
      <c r="G1" s="4" t="inlineStr">
        <is>
          <t>日数</t>
        </is>
      </c>
      <c r="H1" s="4" t="inlineStr">
        <is>
          <t>ステータス</t>
        </is>
      </c>
      <c r="I1" s="4" t="inlineStr">
        <is>
          <t>進捗%</t>
        </is>
      </c>
      <c r="J1" s="4" t="inlineStr">
        <is>
          <t>W1
03/24</t>
        </is>
      </c>
      <c r="K1" s="4" t="inlineStr">
        <is>
          <t>W2
03/31</t>
        </is>
      </c>
      <c r="L1" s="4" t="inlineStr">
        <is>
          <t>W3
04/07</t>
        </is>
      </c>
      <c r="M1" s="4" t="inlineStr">
        <is>
          <t>W4
04/14</t>
        </is>
      </c>
      <c r="N1" s="4" t="inlineStr">
        <is>
          <t>W5
04/21</t>
        </is>
      </c>
      <c r="O1" s="4" t="inlineStr">
        <is>
          <t>W6
04/28</t>
        </is>
      </c>
      <c r="P1" s="4" t="inlineStr">
        <is>
          <t>W7
05/05</t>
        </is>
      </c>
      <c r="Q1" s="4" t="inlineStr">
        <is>
          <t>W8
05/12</t>
        </is>
      </c>
      <c r="R1" s="4" t="inlineStr">
        <is>
          <t>W9
05/19</t>
        </is>
      </c>
      <c r="S1" s="4" t="inlineStr">
        <is>
          <t>W10
05/26</t>
        </is>
      </c>
      <c r="T1" s="4" t="inlineStr">
        <is>
          <t>W11
06/02</t>
        </is>
      </c>
      <c r="U1" s="4" t="inlineStr">
        <is>
          <t>W12
06/09</t>
        </is>
      </c>
    </row>
    <row r="2">
      <c r="A2" s="10" t="inlineStr">
        <is>
          <t>【Month 1: 基盤固め・営業開始】</t>
        </is>
      </c>
    </row>
    <row r="3">
      <c r="A3" s="5" t="inlineStr">
        <is>
          <t>T-06</t>
        </is>
      </c>
      <c r="B3" s="11" t="inlineStr">
        <is>
          <t>経営</t>
        </is>
      </c>
      <c r="C3" s="5" t="inlineStr">
        <is>
          <t>戦略</t>
        </is>
      </c>
      <c r="D3" s="5" t="inlineStr">
        <is>
          <t>エレベーターピッチ作成</t>
        </is>
      </c>
      <c r="E3" s="5" t="inlineStr">
        <is>
          <t>03/24</t>
        </is>
      </c>
      <c r="F3" s="5" t="inlineStr">
        <is>
          <t>03/28</t>
        </is>
      </c>
      <c r="G3" s="5" t="n">
        <v>5</v>
      </c>
      <c r="H3" s="9" t="inlineStr">
        <is>
          <t>完了</t>
        </is>
      </c>
      <c r="I3" s="6" t="n">
        <v>1</v>
      </c>
      <c r="J3" s="12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5" t="n"/>
    </row>
    <row r="4">
      <c r="A4" s="5" t="inlineStr">
        <is>
          <t>T-07</t>
        </is>
      </c>
      <c r="B4" s="11" t="inlineStr">
        <is>
          <t>経営</t>
        </is>
      </c>
      <c r="C4" s="5" t="inlineStr">
        <is>
          <t>営業</t>
        </is>
      </c>
      <c r="D4" s="5" t="inlineStr">
        <is>
          <t>営業提案書 初稿作成</t>
        </is>
      </c>
      <c r="E4" s="5" t="inlineStr">
        <is>
          <t>03/24</t>
        </is>
      </c>
      <c r="F4" s="5" t="inlineStr">
        <is>
          <t>04/04</t>
        </is>
      </c>
      <c r="G4" s="5" t="n">
        <v>10</v>
      </c>
      <c r="H4" s="9" t="inlineStr">
        <is>
          <t>完了</t>
        </is>
      </c>
      <c r="I4" s="6" t="n">
        <v>1</v>
      </c>
      <c r="J4" s="12" t="n"/>
      <c r="K4" s="12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5" t="n"/>
    </row>
    <row r="5">
      <c r="A5" s="5" t="inlineStr">
        <is>
          <t>T-25</t>
        </is>
      </c>
      <c r="B5" s="14" t="inlineStr">
        <is>
          <t>コンテンツ</t>
        </is>
      </c>
      <c r="C5" s="5" t="inlineStr">
        <is>
          <t>品質</t>
        </is>
      </c>
      <c r="D5" s="5" t="inlineStr">
        <is>
          <t>掲載基準・フォーマット策定</t>
        </is>
      </c>
      <c r="E5" s="5" t="inlineStr">
        <is>
          <t>03/24</t>
        </is>
      </c>
      <c r="F5" s="5" t="inlineStr">
        <is>
          <t>03/31</t>
        </is>
      </c>
      <c r="G5" s="5" t="n">
        <v>7</v>
      </c>
      <c r="H5" s="9" t="inlineStr">
        <is>
          <t>完了</t>
        </is>
      </c>
      <c r="I5" s="6" t="n">
        <v>1</v>
      </c>
      <c r="J5" s="12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5" t="n"/>
    </row>
    <row r="6">
      <c r="A6" s="5" t="inlineStr">
        <is>
          <t>T-09</t>
        </is>
      </c>
      <c r="B6" s="15" t="inlineStr">
        <is>
          <t>PM</t>
        </is>
      </c>
      <c r="C6" s="5" t="inlineStr">
        <is>
          <t>計測</t>
        </is>
      </c>
      <c r="D6" s="5" t="inlineStr">
        <is>
          <t>GA4セットアップ</t>
        </is>
      </c>
      <c r="E6" s="5" t="inlineStr">
        <is>
          <t>03/24</t>
        </is>
      </c>
      <c r="F6" s="5" t="inlineStr">
        <is>
          <t>03/31</t>
        </is>
      </c>
      <c r="G6" s="5" t="n">
        <v>7</v>
      </c>
      <c r="H6" s="16" t="inlineStr">
        <is>
          <t>未着手</t>
        </is>
      </c>
      <c r="I6" s="6" t="n">
        <v>0</v>
      </c>
      <c r="J6" s="12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5" t="n"/>
    </row>
    <row r="7">
      <c r="A7" s="5" t="inlineStr">
        <is>
          <t>T-26</t>
        </is>
      </c>
      <c r="B7" s="14" t="inlineStr">
        <is>
          <t>コンテンツ</t>
        </is>
      </c>
      <c r="C7" s="5" t="inlineStr">
        <is>
          <t>品質</t>
        </is>
      </c>
      <c r="D7" s="5" t="inlineStr">
        <is>
          <t>全ページ文言監査</t>
        </is>
      </c>
      <c r="E7" s="5" t="inlineStr">
        <is>
          <t>03/24</t>
        </is>
      </c>
      <c r="F7" s="5" t="inlineStr">
        <is>
          <t>04/07</t>
        </is>
      </c>
      <c r="G7" s="5" t="n">
        <v>14</v>
      </c>
      <c r="H7" s="9" t="inlineStr">
        <is>
          <t>完了</t>
        </is>
      </c>
      <c r="I7" s="6" t="n">
        <v>1</v>
      </c>
      <c r="J7" s="12" t="n"/>
      <c r="K7" s="12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5" t="n"/>
    </row>
    <row r="8">
      <c r="A8" s="5" t="inlineStr">
        <is>
          <t>T-32</t>
        </is>
      </c>
      <c r="B8" s="11" t="inlineStr">
        <is>
          <t>経営</t>
        </is>
      </c>
      <c r="C8" s="5" t="inlineStr">
        <is>
          <t>オペ</t>
        </is>
      </c>
      <c r="D8" s="5" t="inlineStr">
        <is>
          <t>問い合わせ対応フロー設計</t>
        </is>
      </c>
      <c r="E8" s="5" t="inlineStr">
        <is>
          <t>03/24</t>
        </is>
      </c>
      <c r="F8" s="5" t="inlineStr">
        <is>
          <t>04/04</t>
        </is>
      </c>
      <c r="G8" s="5" t="n">
        <v>10</v>
      </c>
      <c r="H8" s="9" t="inlineStr">
        <is>
          <t>完了</t>
        </is>
      </c>
      <c r="I8" s="6" t="n">
        <v>1</v>
      </c>
      <c r="J8" s="12" t="n"/>
      <c r="K8" s="12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5" t="n"/>
    </row>
    <row r="9">
      <c r="A9" s="5" t="inlineStr">
        <is>
          <t>T-17</t>
        </is>
      </c>
      <c r="B9" s="11" t="inlineStr">
        <is>
          <t>経営</t>
        </is>
      </c>
      <c r="C9" s="5" t="inlineStr">
        <is>
          <t>営業</t>
        </is>
      </c>
      <c r="D9" s="5" t="inlineStr">
        <is>
          <t>営業提案フロー設計</t>
        </is>
      </c>
      <c r="E9" s="5" t="inlineStr">
        <is>
          <t>03/31</t>
        </is>
      </c>
      <c r="F9" s="5" t="inlineStr">
        <is>
          <t>04/07</t>
        </is>
      </c>
      <c r="G9" s="5" t="n">
        <v>7</v>
      </c>
      <c r="H9" s="9" t="inlineStr">
        <is>
          <t>完了</t>
        </is>
      </c>
      <c r="I9" s="6" t="n">
        <v>1</v>
      </c>
      <c r="J9" s="13" t="n"/>
      <c r="K9" s="12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5" t="n"/>
    </row>
    <row r="10">
      <c r="A10" s="5" t="inlineStr">
        <is>
          <t>T-35</t>
        </is>
      </c>
      <c r="B10" s="11" t="inlineStr">
        <is>
          <t>経営</t>
        </is>
      </c>
      <c r="C10" s="5" t="inlineStr">
        <is>
          <t>収益</t>
        </is>
      </c>
      <c r="D10" s="5" t="inlineStr">
        <is>
          <t>料金プラン確定</t>
        </is>
      </c>
      <c r="E10" s="5" t="inlineStr">
        <is>
          <t>03/31</t>
        </is>
      </c>
      <c r="F10" s="5" t="inlineStr">
        <is>
          <t>04/07</t>
        </is>
      </c>
      <c r="G10" s="5" t="n">
        <v>7</v>
      </c>
      <c r="H10" s="16" t="inlineStr">
        <is>
          <t>未着手</t>
        </is>
      </c>
      <c r="I10" s="6" t="n">
        <v>0</v>
      </c>
      <c r="J10" s="13" t="n"/>
      <c r="K10" s="12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5" t="n"/>
    </row>
    <row r="11">
      <c r="A11" s="5" t="inlineStr">
        <is>
          <t>T-27</t>
        </is>
      </c>
      <c r="B11" s="14" t="inlineStr">
        <is>
          <t>コンテンツ</t>
        </is>
      </c>
      <c r="C11" s="5" t="inlineStr">
        <is>
          <t>品質</t>
        </is>
      </c>
      <c r="D11" s="5" t="inlineStr">
        <is>
          <t>再ヒアリング項目整理</t>
        </is>
      </c>
      <c r="E11" s="5" t="inlineStr">
        <is>
          <t>03/31</t>
        </is>
      </c>
      <c r="F11" s="5" t="inlineStr">
        <is>
          <t>04/07</t>
        </is>
      </c>
      <c r="G11" s="5" t="n">
        <v>7</v>
      </c>
      <c r="H11" s="9" t="inlineStr">
        <is>
          <t>完了</t>
        </is>
      </c>
      <c r="I11" s="6" t="n">
        <v>1</v>
      </c>
      <c r="J11" s="13" t="n"/>
      <c r="K11" s="12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5" t="n"/>
    </row>
    <row r="12">
      <c r="A12" s="5" t="inlineStr">
        <is>
          <t>T-04</t>
        </is>
      </c>
      <c r="B12" s="11" t="inlineStr">
        <is>
          <t>経営</t>
        </is>
      </c>
      <c r="C12" s="5" t="inlineStr">
        <is>
          <t>戦略</t>
        </is>
      </c>
      <c r="D12" s="5" t="inlineStr">
        <is>
          <t>ペルソナ3パターン作成</t>
        </is>
      </c>
      <c r="E12" s="5" t="inlineStr">
        <is>
          <t>03/31</t>
        </is>
      </c>
      <c r="F12" s="5" t="inlineStr">
        <is>
          <t>04/07</t>
        </is>
      </c>
      <c r="G12" s="5" t="n">
        <v>7</v>
      </c>
      <c r="H12" s="9" t="inlineStr">
        <is>
          <t>完了</t>
        </is>
      </c>
      <c r="I12" s="6" t="n">
        <v>1</v>
      </c>
      <c r="J12" s="13" t="n"/>
      <c r="K12" s="12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5" t="n"/>
    </row>
    <row r="13">
      <c r="A13" s="5" t="inlineStr">
        <is>
          <t>T-02</t>
        </is>
      </c>
      <c r="B13" s="15" t="inlineStr">
        <is>
          <t>PM</t>
        </is>
      </c>
      <c r="C13" s="5" t="inlineStr">
        <is>
          <t>計測</t>
        </is>
      </c>
      <c r="D13" s="5" t="inlineStr">
        <is>
          <t>KPI定義・計測開始</t>
        </is>
      </c>
      <c r="E13" s="5" t="inlineStr">
        <is>
          <t>03/31</t>
        </is>
      </c>
      <c r="F13" s="5" t="inlineStr">
        <is>
          <t>04/07</t>
        </is>
      </c>
      <c r="G13" s="5" t="n">
        <v>7</v>
      </c>
      <c r="H13" s="16" t="inlineStr">
        <is>
          <t>未着手</t>
        </is>
      </c>
      <c r="I13" s="6" t="n">
        <v>0</v>
      </c>
      <c r="J13" s="13" t="n"/>
      <c r="K13" s="12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5" t="n"/>
    </row>
    <row r="14">
      <c r="A14" s="5" t="inlineStr">
        <is>
          <t>T-40</t>
        </is>
      </c>
      <c r="B14" s="11" t="inlineStr">
        <is>
          <t>経営</t>
        </is>
      </c>
      <c r="C14" s="5" t="inlineStr">
        <is>
          <t>戦略</t>
        </is>
      </c>
      <c r="D14" s="5" t="inlineStr">
        <is>
          <t>四半期マイルストーン設定</t>
        </is>
      </c>
      <c r="E14" s="5" t="inlineStr">
        <is>
          <t>03/31</t>
        </is>
      </c>
      <c r="F14" s="5" t="inlineStr">
        <is>
          <t>04/07</t>
        </is>
      </c>
      <c r="G14" s="5" t="n">
        <v>7</v>
      </c>
      <c r="H14" s="16" t="inlineStr">
        <is>
          <t>未着手</t>
        </is>
      </c>
      <c r="I14" s="6" t="n">
        <v>0</v>
      </c>
      <c r="J14" s="13" t="n"/>
      <c r="K14" s="12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5" t="n"/>
    </row>
    <row r="15">
      <c r="A15" s="5" t="inlineStr">
        <is>
          <t>T-19</t>
        </is>
      </c>
      <c r="B15" s="11" t="inlineStr">
        <is>
          <t>経営</t>
        </is>
      </c>
      <c r="C15" s="5" t="inlineStr">
        <is>
          <t>営業</t>
        </is>
      </c>
      <c r="D15" s="5" t="inlineStr">
        <is>
          <t>既存取材先への提案</t>
        </is>
      </c>
      <c r="E15" s="5" t="inlineStr">
        <is>
          <t>04/07</t>
        </is>
      </c>
      <c r="F15" s="5" t="inlineStr">
        <is>
          <t>04/18</t>
        </is>
      </c>
      <c r="G15" s="5" t="n">
        <v>10</v>
      </c>
      <c r="H15" s="16" t="inlineStr">
        <is>
          <t>未着手</t>
        </is>
      </c>
      <c r="I15" s="6" t="n">
        <v>0</v>
      </c>
      <c r="J15" s="13" t="n"/>
      <c r="K15" s="13" t="n"/>
      <c r="L15" s="12" t="n"/>
      <c r="M15" s="12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5" t="n"/>
    </row>
    <row r="16">
      <c r="A16" s="5" t="inlineStr">
        <is>
          <t>T-18</t>
        </is>
      </c>
      <c r="B16" s="11" t="inlineStr">
        <is>
          <t>経営</t>
        </is>
      </c>
      <c r="C16" s="5" t="inlineStr">
        <is>
          <t>営業</t>
        </is>
      </c>
      <c r="D16" s="5" t="inlineStr">
        <is>
          <t>契約書テンプレート作成</t>
        </is>
      </c>
      <c r="E16" s="5" t="inlineStr">
        <is>
          <t>04/07</t>
        </is>
      </c>
      <c r="F16" s="5" t="inlineStr">
        <is>
          <t>04/14</t>
        </is>
      </c>
      <c r="G16" s="5" t="n">
        <v>7</v>
      </c>
      <c r="H16" s="9" t="inlineStr">
        <is>
          <t>完了</t>
        </is>
      </c>
      <c r="I16" s="6" t="n">
        <v>1</v>
      </c>
      <c r="J16" s="13" t="n"/>
      <c r="K16" s="13" t="n"/>
      <c r="L16" s="12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</row>
    <row r="17">
      <c r="A17" s="5" t="inlineStr">
        <is>
          <t>T-21</t>
        </is>
      </c>
      <c r="B17" s="14" t="inlineStr">
        <is>
          <t>コンテンツ</t>
        </is>
      </c>
      <c r="C17" s="5" t="inlineStr">
        <is>
          <t>品質</t>
        </is>
      </c>
      <c r="D17" s="5" t="inlineStr">
        <is>
          <t>取材記事の実名化交渉</t>
        </is>
      </c>
      <c r="E17" s="5" t="inlineStr">
        <is>
          <t>04/07</t>
        </is>
      </c>
      <c r="F17" s="5" t="inlineStr">
        <is>
          <t>04/18</t>
        </is>
      </c>
      <c r="G17" s="5" t="n">
        <v>10</v>
      </c>
      <c r="H17" s="16" t="inlineStr">
        <is>
          <t>未着手</t>
        </is>
      </c>
      <c r="I17" s="6" t="n">
        <v>0</v>
      </c>
      <c r="J17" s="13" t="n"/>
      <c r="K17" s="13" t="n"/>
      <c r="L17" s="12" t="n"/>
      <c r="M17" s="12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5" t="n"/>
    </row>
    <row r="18">
      <c r="A18" s="5" t="inlineStr">
        <is>
          <t>T-28</t>
        </is>
      </c>
      <c r="B18" s="9" t="inlineStr">
        <is>
          <t>営業</t>
        </is>
      </c>
      <c r="C18" s="5" t="inlineStr">
        <is>
          <t>品質</t>
        </is>
      </c>
      <c r="D18" s="5" t="inlineStr">
        <is>
          <t>工務店再ヒアリング(1-3社)</t>
        </is>
      </c>
      <c r="E18" s="5" t="inlineStr">
        <is>
          <t>04/07</t>
        </is>
      </c>
      <c r="F18" s="5" t="inlineStr">
        <is>
          <t>04/21</t>
        </is>
      </c>
      <c r="G18" s="5" t="n">
        <v>14</v>
      </c>
      <c r="H18" s="16" t="inlineStr">
        <is>
          <t>未着手</t>
        </is>
      </c>
      <c r="I18" s="6" t="n">
        <v>0</v>
      </c>
      <c r="J18" s="13" t="n"/>
      <c r="K18" s="13" t="n"/>
      <c r="L18" s="12" t="n"/>
      <c r="M18" s="12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5" t="n"/>
    </row>
    <row r="19">
      <c r="A19" s="5" t="inlineStr">
        <is>
          <t>T-10</t>
        </is>
      </c>
      <c r="B19" s="17" t="inlineStr">
        <is>
          <t>マーケ</t>
        </is>
      </c>
      <c r="C19" s="5" t="inlineStr">
        <is>
          <t>集客</t>
        </is>
      </c>
      <c r="D19" s="5" t="inlineStr">
        <is>
          <t>YouTube概要欄CTA最適化</t>
        </is>
      </c>
      <c r="E19" s="5" t="inlineStr">
        <is>
          <t>04/07</t>
        </is>
      </c>
      <c r="F19" s="5" t="inlineStr">
        <is>
          <t>04/14</t>
        </is>
      </c>
      <c r="G19" s="5" t="n">
        <v>7</v>
      </c>
      <c r="H19" s="9" t="inlineStr">
        <is>
          <t>完了</t>
        </is>
      </c>
      <c r="I19" s="6" t="n">
        <v>1</v>
      </c>
      <c r="J19" s="13" t="n"/>
      <c r="K19" s="13" t="n"/>
      <c r="L19" s="12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</row>
    <row r="20">
      <c r="A20" s="5" t="inlineStr">
        <is>
          <t>T-36</t>
        </is>
      </c>
      <c r="B20" s="11" t="inlineStr">
        <is>
          <t>経営</t>
        </is>
      </c>
      <c r="C20" s="5" t="inlineStr">
        <is>
          <t>収益</t>
        </is>
      </c>
      <c r="D20" s="5" t="inlineStr">
        <is>
          <t>初期パートナー1社獲得</t>
        </is>
      </c>
      <c r="E20" s="5" t="inlineStr">
        <is>
          <t>04/14</t>
        </is>
      </c>
      <c r="F20" s="5" t="inlineStr">
        <is>
          <t>04/25</t>
        </is>
      </c>
      <c r="G20" s="5" t="n">
        <v>10</v>
      </c>
      <c r="H20" s="16" t="inlineStr">
        <is>
          <t>未着手</t>
        </is>
      </c>
      <c r="I20" s="6" t="n">
        <v>0</v>
      </c>
      <c r="J20" s="13" t="n"/>
      <c r="K20" s="13" t="n"/>
      <c r="L20" s="13" t="n"/>
      <c r="M20" s="12" t="n"/>
      <c r="N20" s="12" t="n"/>
      <c r="O20" s="13" t="n"/>
      <c r="P20" s="13" t="n"/>
      <c r="Q20" s="13" t="n"/>
      <c r="R20" s="13" t="n"/>
      <c r="S20" s="13" t="n"/>
      <c r="T20" s="13" t="n"/>
      <c r="U20" s="13" t="n"/>
    </row>
    <row r="21">
      <c r="A21" s="5" t="inlineStr">
        <is>
          <t>T-29</t>
        </is>
      </c>
      <c r="B21" s="14" t="inlineStr">
        <is>
          <t>コンテンツ</t>
        </is>
      </c>
      <c r="C21" s="5" t="inlineStr">
        <is>
          <t>品質</t>
        </is>
      </c>
      <c r="D21" s="5" t="inlineStr">
        <is>
          <t>リライト実施(優先5件)</t>
        </is>
      </c>
      <c r="E21" s="5" t="inlineStr">
        <is>
          <t>04/14</t>
        </is>
      </c>
      <c r="F21" s="5" t="inlineStr">
        <is>
          <t>04/25</t>
        </is>
      </c>
      <c r="G21" s="5" t="n">
        <v>10</v>
      </c>
      <c r="H21" s="16" t="inlineStr">
        <is>
          <t>未着手</t>
        </is>
      </c>
      <c r="I21" s="6" t="n">
        <v>0</v>
      </c>
      <c r="J21" s="13" t="n"/>
      <c r="K21" s="13" t="n"/>
      <c r="L21" s="13" t="n"/>
      <c r="M21" s="12" t="n"/>
      <c r="N21" s="12" t="n"/>
      <c r="O21" s="13" t="n"/>
      <c r="P21" s="13" t="n"/>
      <c r="Q21" s="13" t="n"/>
      <c r="R21" s="13" t="n"/>
      <c r="S21" s="13" t="n"/>
      <c r="T21" s="13" t="n"/>
      <c r="U21" s="13" t="n"/>
    </row>
    <row r="22">
      <c r="A22" s="5" t="inlineStr">
        <is>
          <t>T-33</t>
        </is>
      </c>
      <c r="B22" s="11" t="inlineStr">
        <is>
          <t>経営</t>
        </is>
      </c>
      <c r="C22" s="5" t="inlineStr">
        <is>
          <t>オペ</t>
        </is>
      </c>
      <c r="D22" s="5" t="inlineStr">
        <is>
          <t>反響受け渡しフロー設計</t>
        </is>
      </c>
      <c r="E22" s="5" t="inlineStr">
        <is>
          <t>04/14</t>
        </is>
      </c>
      <c r="F22" s="5" t="inlineStr">
        <is>
          <t>04/21</t>
        </is>
      </c>
      <c r="G22" s="5" t="n">
        <v>7</v>
      </c>
      <c r="H22" s="9" t="inlineStr">
        <is>
          <t>完了</t>
        </is>
      </c>
      <c r="I22" s="6" t="n">
        <v>1</v>
      </c>
      <c r="J22" s="13" t="n"/>
      <c r="K22" s="13" t="n"/>
      <c r="L22" s="13" t="n"/>
      <c r="M22" s="12" t="n"/>
      <c r="N22" s="13" t="n"/>
      <c r="O22" s="13" t="n"/>
      <c r="P22" s="13" t="n"/>
      <c r="Q22" s="13" t="n"/>
      <c r="R22" s="13" t="n"/>
      <c r="S22" s="13" t="n"/>
      <c r="T22" s="13" t="n"/>
      <c r="U22" s="13" t="n"/>
    </row>
    <row r="23">
      <c r="A23" s="5" t="inlineStr">
        <is>
          <t>T-38</t>
        </is>
      </c>
      <c r="B23" s="15" t="inlineStr">
        <is>
          <t>PM</t>
        </is>
      </c>
      <c r="C23" s="5" t="inlineStr">
        <is>
          <t>計測</t>
        </is>
      </c>
      <c r="D23" s="5" t="inlineStr">
        <is>
          <t>週次KPIレポート開始</t>
        </is>
      </c>
      <c r="E23" s="5" t="inlineStr">
        <is>
          <t>04/14</t>
        </is>
      </c>
      <c r="F23" s="5" t="inlineStr">
        <is>
          <t>04/21</t>
        </is>
      </c>
      <c r="G23" s="5" t="n">
        <v>7</v>
      </c>
      <c r="H23" s="9" t="inlineStr">
        <is>
          <t>完了</t>
        </is>
      </c>
      <c r="I23" s="6" t="n">
        <v>1</v>
      </c>
      <c r="J23" s="13" t="n"/>
      <c r="K23" s="13" t="n"/>
      <c r="L23" s="13" t="n"/>
      <c r="M23" s="12" t="n"/>
      <c r="N23" s="13" t="n"/>
      <c r="O23" s="13" t="n"/>
      <c r="P23" s="13" t="n"/>
      <c r="Q23" s="13" t="n"/>
      <c r="R23" s="13" t="n"/>
      <c r="S23" s="13" t="n"/>
      <c r="T23" s="13" t="n"/>
      <c r="U23" s="13" t="n"/>
    </row>
    <row r="24">
      <c r="A24" s="5" t="inlineStr">
        <is>
          <t>T-13</t>
        </is>
      </c>
      <c r="B24" s="15" t="inlineStr">
        <is>
          <t>PM</t>
        </is>
      </c>
      <c r="C24" s="5" t="inlineStr">
        <is>
          <t>計測</t>
        </is>
      </c>
      <c r="D24" s="5" t="inlineStr">
        <is>
          <t>CV率計測・分析開始</t>
        </is>
      </c>
      <c r="E24" s="5" t="inlineStr">
        <is>
          <t>04/14</t>
        </is>
      </c>
      <c r="F24" s="5" t="inlineStr">
        <is>
          <t>04/21</t>
        </is>
      </c>
      <c r="G24" s="5" t="n">
        <v>7</v>
      </c>
      <c r="H24" s="16" t="inlineStr">
        <is>
          <t>未着手</t>
        </is>
      </c>
      <c r="I24" s="6" t="n">
        <v>0</v>
      </c>
      <c r="J24" s="13" t="n"/>
      <c r="K24" s="13" t="n"/>
      <c r="L24" s="13" t="n"/>
      <c r="M24" s="12" t="n"/>
      <c r="N24" s="13" t="n"/>
      <c r="O24" s="13" t="n"/>
      <c r="P24" s="13" t="n"/>
      <c r="Q24" s="13" t="n"/>
      <c r="R24" s="13" t="n"/>
      <c r="S24" s="13" t="n"/>
      <c r="T24" s="13" t="n"/>
      <c r="U24" s="13" t="n"/>
    </row>
    <row r="25">
      <c r="A25" s="10" t="inlineStr">
        <is>
          <t>【Month 2: 拡大準備・コンテンツ充実】</t>
        </is>
      </c>
    </row>
    <row r="26">
      <c r="A26" s="5" t="inlineStr">
        <is>
          <t>T-05</t>
        </is>
      </c>
      <c r="B26" s="9" t="inlineStr">
        <is>
          <t>営業</t>
        </is>
      </c>
      <c r="C26" s="5" t="inlineStr">
        <is>
          <t>戦略</t>
        </is>
      </c>
      <c r="D26" s="5" t="inlineStr">
        <is>
          <t>工務店ターゲットリスト作成</t>
        </is>
      </c>
      <c r="E26" s="5" t="inlineStr">
        <is>
          <t>04/21</t>
        </is>
      </c>
      <c r="F26" s="5" t="inlineStr">
        <is>
          <t>05/02</t>
        </is>
      </c>
      <c r="G26" s="5" t="n">
        <v>10</v>
      </c>
      <c r="H26" s="16" t="inlineStr">
        <is>
          <t>未着手</t>
        </is>
      </c>
      <c r="I26" s="6" t="n">
        <v>0</v>
      </c>
      <c r="J26" s="13" t="n"/>
      <c r="K26" s="13" t="n"/>
      <c r="L26" s="13" t="n"/>
      <c r="M26" s="13" t="n"/>
      <c r="N26" s="12" t="n"/>
      <c r="O26" s="12" t="n"/>
      <c r="P26" s="13" t="n"/>
      <c r="Q26" s="13" t="n"/>
      <c r="R26" s="13" t="n"/>
      <c r="S26" s="13" t="n"/>
      <c r="T26" s="13" t="n"/>
      <c r="U26" s="13" t="n"/>
    </row>
    <row r="27">
      <c r="A27" s="5" t="inlineStr">
        <is>
          <t>T-11</t>
        </is>
      </c>
      <c r="B27" s="14" t="inlineStr">
        <is>
          <t>コンテンツ</t>
        </is>
      </c>
      <c r="C27" s="5" t="inlineStr">
        <is>
          <t>集客</t>
        </is>
      </c>
      <c r="D27" s="5" t="inlineStr">
        <is>
          <t>SEO記事制作(月3本)</t>
        </is>
      </c>
      <c r="E27" s="5" t="inlineStr">
        <is>
          <t>04/21</t>
        </is>
      </c>
      <c r="F27" s="5" t="inlineStr">
        <is>
          <t>05/15</t>
        </is>
      </c>
      <c r="G27" s="5" t="n">
        <v>24</v>
      </c>
      <c r="H27" s="9" t="inlineStr">
        <is>
          <t>完了</t>
        </is>
      </c>
      <c r="I27" s="6" t="n">
        <v>1</v>
      </c>
      <c r="J27" s="13" t="n"/>
      <c r="K27" s="13" t="n"/>
      <c r="L27" s="13" t="n"/>
      <c r="M27" s="13" t="n"/>
      <c r="N27" s="12" t="n"/>
      <c r="O27" s="12" t="n"/>
      <c r="P27" s="12" t="n"/>
      <c r="Q27" s="13" t="n"/>
      <c r="R27" s="13" t="n"/>
      <c r="S27" s="13" t="n"/>
      <c r="T27" s="13" t="n"/>
      <c r="U27" s="13" t="n"/>
    </row>
    <row r="28">
      <c r="A28" s="5" t="inlineStr">
        <is>
          <t>T-12</t>
        </is>
      </c>
      <c r="B28" s="17" t="inlineStr">
        <is>
          <t>マーケ</t>
        </is>
      </c>
      <c r="C28" s="5" t="inlineStr">
        <is>
          <t>集客</t>
        </is>
      </c>
      <c r="D28" s="5" t="inlineStr">
        <is>
          <t>LINE公式運用開始</t>
        </is>
      </c>
      <c r="E28" s="5" t="inlineStr">
        <is>
          <t>04/21</t>
        </is>
      </c>
      <c r="F28" s="5" t="inlineStr">
        <is>
          <t>05/02</t>
        </is>
      </c>
      <c r="G28" s="5" t="n">
        <v>10</v>
      </c>
      <c r="H28" s="16" t="inlineStr">
        <is>
          <t>未着手</t>
        </is>
      </c>
      <c r="I28" s="6" t="n">
        <v>0</v>
      </c>
      <c r="J28" s="13" t="n"/>
      <c r="K28" s="13" t="n"/>
      <c r="L28" s="13" t="n"/>
      <c r="M28" s="13" t="n"/>
      <c r="N28" s="12" t="n"/>
      <c r="O28" s="12" t="n"/>
      <c r="P28" s="13" t="n"/>
      <c r="Q28" s="13" t="n"/>
      <c r="R28" s="13" t="n"/>
      <c r="S28" s="13" t="n"/>
      <c r="T28" s="13" t="n"/>
      <c r="U28" s="13" t="n"/>
    </row>
    <row r="29">
      <c r="A29" s="5" t="inlineStr">
        <is>
          <t>T-20</t>
        </is>
      </c>
      <c r="B29" s="9" t="inlineStr">
        <is>
          <t>営業</t>
        </is>
      </c>
      <c r="C29" s="5" t="inlineStr">
        <is>
          <t>営業</t>
        </is>
      </c>
      <c r="D29" s="5" t="inlineStr">
        <is>
          <t>新規工務店アプローチ(月5社)</t>
        </is>
      </c>
      <c r="E29" s="5" t="inlineStr">
        <is>
          <t>04/28</t>
        </is>
      </c>
      <c r="F29" s="5" t="inlineStr">
        <is>
          <t>05/22</t>
        </is>
      </c>
      <c r="G29" s="5" t="n">
        <v>24</v>
      </c>
      <c r="H29" s="16" t="inlineStr">
        <is>
          <t>未着手</t>
        </is>
      </c>
      <c r="I29" s="6" t="n">
        <v>0</v>
      </c>
      <c r="J29" s="13" t="n"/>
      <c r="K29" s="13" t="n"/>
      <c r="L29" s="13" t="n"/>
      <c r="M29" s="13" t="n"/>
      <c r="N29" s="13" t="n"/>
      <c r="O29" s="12" t="n"/>
      <c r="P29" s="12" t="n"/>
      <c r="Q29" s="12" t="n"/>
      <c r="R29" s="13" t="n"/>
      <c r="S29" s="13" t="n"/>
      <c r="T29" s="13" t="n"/>
      <c r="U29" s="13" t="n"/>
    </row>
    <row r="30">
      <c r="A30" s="5" t="inlineStr">
        <is>
          <t>T-22</t>
        </is>
      </c>
      <c r="B30" s="14" t="inlineStr">
        <is>
          <t>コンテンツ</t>
        </is>
      </c>
      <c r="C30" s="5" t="inlineStr">
        <is>
          <t>コンテンツ</t>
        </is>
      </c>
      <c r="D30" s="5" t="inlineStr">
        <is>
          <t>月次コンテンツカレンダー作成</t>
        </is>
      </c>
      <c r="E30" s="5" t="inlineStr">
        <is>
          <t>04/21</t>
        </is>
      </c>
      <c r="F30" s="5" t="inlineStr">
        <is>
          <t>04/28</t>
        </is>
      </c>
      <c r="G30" s="5" t="n">
        <v>7</v>
      </c>
      <c r="H30" s="9" t="inlineStr">
        <is>
          <t>完了</t>
        </is>
      </c>
      <c r="I30" s="6" t="n">
        <v>1</v>
      </c>
      <c r="J30" s="13" t="n"/>
      <c r="K30" s="13" t="n"/>
      <c r="L30" s="13" t="n"/>
      <c r="M30" s="13" t="n"/>
      <c r="N30" s="12" t="n"/>
      <c r="O30" s="13" t="n"/>
      <c r="P30" s="13" t="n"/>
      <c r="Q30" s="13" t="n"/>
      <c r="R30" s="13" t="n"/>
      <c r="S30" s="13" t="n"/>
      <c r="T30" s="13" t="n"/>
      <c r="U30" s="13" t="n"/>
    </row>
    <row r="31">
      <c r="A31" s="5" t="inlineStr">
        <is>
          <t>T-30</t>
        </is>
      </c>
      <c r="B31" s="14" t="inlineStr">
        <is>
          <t>コンテンツ</t>
        </is>
      </c>
      <c r="C31" s="5" t="inlineStr">
        <is>
          <t>品質</t>
        </is>
      </c>
      <c r="D31" s="5" t="inlineStr">
        <is>
          <t>SEOメタデータ一括入力</t>
        </is>
      </c>
      <c r="E31" s="5" t="inlineStr">
        <is>
          <t>04/21</t>
        </is>
      </c>
      <c r="F31" s="5" t="inlineStr">
        <is>
          <t>05/02</t>
        </is>
      </c>
      <c r="G31" s="5" t="n">
        <v>10</v>
      </c>
      <c r="H31" s="9" t="inlineStr">
        <is>
          <t>完了</t>
        </is>
      </c>
      <c r="I31" s="6" t="n">
        <v>1</v>
      </c>
      <c r="J31" s="13" t="n"/>
      <c r="K31" s="13" t="n"/>
      <c r="L31" s="13" t="n"/>
      <c r="M31" s="13" t="n"/>
      <c r="N31" s="12" t="n"/>
      <c r="O31" s="12" t="n"/>
      <c r="P31" s="13" t="n"/>
      <c r="Q31" s="13" t="n"/>
      <c r="R31" s="13" t="n"/>
      <c r="S31" s="13" t="n"/>
      <c r="T31" s="13" t="n"/>
      <c r="U31" s="13" t="n"/>
    </row>
    <row r="32">
      <c r="A32" s="5" t="inlineStr">
        <is>
          <t>T-31</t>
        </is>
      </c>
      <c r="B32" s="14" t="inlineStr">
        <is>
          <t>コンテンツ</t>
        </is>
      </c>
      <c r="C32" s="5" t="inlineStr">
        <is>
          <t>品質</t>
        </is>
      </c>
      <c r="D32" s="5" t="inlineStr">
        <is>
          <t>マガジン表紙画像制作</t>
        </is>
      </c>
      <c r="E32" s="5" t="inlineStr">
        <is>
          <t>04/28</t>
        </is>
      </c>
      <c r="F32" s="5" t="inlineStr">
        <is>
          <t>05/15</t>
        </is>
      </c>
      <c r="G32" s="5" t="n">
        <v>17</v>
      </c>
      <c r="H32" s="16" t="inlineStr">
        <is>
          <t>未着手</t>
        </is>
      </c>
      <c r="I32" s="6" t="n">
        <v>0</v>
      </c>
      <c r="J32" s="13" t="n"/>
      <c r="K32" s="13" t="n"/>
      <c r="L32" s="13" t="n"/>
      <c r="M32" s="13" t="n"/>
      <c r="N32" s="13" t="n"/>
      <c r="O32" s="12" t="n"/>
      <c r="P32" s="12" t="n"/>
      <c r="Q32" s="13" t="n"/>
      <c r="R32" s="13" t="n"/>
      <c r="S32" s="13" t="n"/>
      <c r="T32" s="13" t="n"/>
      <c r="U32" s="13" t="n"/>
    </row>
    <row r="33">
      <c r="A33" s="5" t="inlineStr">
        <is>
          <t>T-42</t>
        </is>
      </c>
      <c r="B33" s="14" t="inlineStr">
        <is>
          <t>コンテンツ</t>
        </is>
      </c>
      <c r="C33" s="5" t="inlineStr">
        <is>
          <t>品質</t>
        </is>
      </c>
      <c r="D33" s="5" t="inlineStr">
        <is>
          <t>構造化データ入力</t>
        </is>
      </c>
      <c r="E33" s="5" t="inlineStr">
        <is>
          <t>05/04</t>
        </is>
      </c>
      <c r="F33" s="5" t="inlineStr">
        <is>
          <t>05/22</t>
        </is>
      </c>
      <c r="G33" s="5" t="n">
        <v>18</v>
      </c>
      <c r="H33" s="16" t="inlineStr">
        <is>
          <t>未着手</t>
        </is>
      </c>
      <c r="I33" s="6" t="n">
        <v>0</v>
      </c>
      <c r="J33" s="13" t="n"/>
      <c r="K33" s="13" t="n"/>
      <c r="L33" s="13" t="n"/>
      <c r="M33" s="13" t="n"/>
      <c r="N33" s="13" t="n"/>
      <c r="O33" s="13" t="n"/>
      <c r="P33" s="12" t="n"/>
      <c r="Q33" s="12" t="n"/>
      <c r="R33" s="13" t="n"/>
      <c r="S33" s="13" t="n"/>
      <c r="T33" s="13" t="n"/>
      <c r="U33" s="13" t="n"/>
    </row>
    <row r="34">
      <c r="A34" s="5" t="inlineStr">
        <is>
          <t>T-39</t>
        </is>
      </c>
      <c r="B34" s="15" t="inlineStr">
        <is>
          <t>PM</t>
        </is>
      </c>
      <c r="C34" s="5" t="inlineStr">
        <is>
          <t>計測</t>
        </is>
      </c>
      <c r="D34" s="5" t="inlineStr">
        <is>
          <t>月次レビュー会議開始</t>
        </is>
      </c>
      <c r="E34" s="5" t="inlineStr">
        <is>
          <t>05/04</t>
        </is>
      </c>
      <c r="F34" s="5" t="inlineStr">
        <is>
          <t>05/11</t>
        </is>
      </c>
      <c r="G34" s="5" t="n">
        <v>7</v>
      </c>
      <c r="H34" s="9" t="inlineStr">
        <is>
          <t>完了</t>
        </is>
      </c>
      <c r="I34" s="6" t="n">
        <v>1</v>
      </c>
      <c r="J34" s="13" t="n"/>
      <c r="K34" s="13" t="n"/>
      <c r="L34" s="13" t="n"/>
      <c r="M34" s="13" t="n"/>
      <c r="N34" s="13" t="n"/>
      <c r="O34" s="13" t="n"/>
      <c r="P34" s="12" t="n"/>
      <c r="Q34" s="13" t="n"/>
      <c r="R34" s="13" t="n"/>
      <c r="S34" s="13" t="n"/>
      <c r="T34" s="13" t="n"/>
      <c r="U34" s="13" t="n"/>
    </row>
    <row r="35">
      <c r="A35" s="10" t="inlineStr">
        <is>
          <t>【Month 3: 検証・改善・次フェーズ準備】</t>
        </is>
      </c>
    </row>
    <row r="36">
      <c r="A36" s="5" t="inlineStr">
        <is>
          <t>T-01</t>
        </is>
      </c>
      <c r="B36" s="11" t="inlineStr">
        <is>
          <t>経営</t>
        </is>
      </c>
      <c r="C36" s="5" t="inlineStr">
        <is>
          <t>収益</t>
        </is>
      </c>
      <c r="D36" s="5" t="inlineStr">
        <is>
          <t>収益モデル初期検証</t>
        </is>
      </c>
      <c r="E36" s="5" t="inlineStr">
        <is>
          <t>05/18</t>
        </is>
      </c>
      <c r="F36" s="5" t="inlineStr">
        <is>
          <t>06/05</t>
        </is>
      </c>
      <c r="G36" s="5" t="n">
        <v>18</v>
      </c>
      <c r="H36" s="16" t="inlineStr">
        <is>
          <t>未着手</t>
        </is>
      </c>
      <c r="I36" s="6" t="n">
        <v>0</v>
      </c>
      <c r="J36" s="13" t="n"/>
      <c r="K36" s="13" t="n"/>
      <c r="L36" s="13" t="n"/>
      <c r="M36" s="13" t="n"/>
      <c r="N36" s="13" t="n"/>
      <c r="O36" s="13" t="n"/>
      <c r="P36" s="13" t="n"/>
      <c r="Q36" s="13" t="n"/>
      <c r="R36" s="12" t="n"/>
      <c r="S36" s="12" t="n"/>
      <c r="T36" s="13" t="n"/>
      <c r="U36" s="13" t="n"/>
    </row>
    <row r="37">
      <c r="A37" s="5" t="inlineStr">
        <is>
          <t>T-03</t>
        </is>
      </c>
      <c r="B37" s="11" t="inlineStr">
        <is>
          <t>経営</t>
        </is>
      </c>
      <c r="C37" s="5" t="inlineStr">
        <is>
          <t>戦略</t>
        </is>
      </c>
      <c r="D37" s="5" t="inlineStr">
        <is>
          <t>月次P/L作成</t>
        </is>
      </c>
      <c r="E37" s="5" t="inlineStr">
        <is>
          <t>05/18</t>
        </is>
      </c>
      <c r="F37" s="5" t="inlineStr">
        <is>
          <t>05/25</t>
        </is>
      </c>
      <c r="G37" s="5" t="n">
        <v>7</v>
      </c>
      <c r="H37" s="9" t="inlineStr">
        <is>
          <t>完了</t>
        </is>
      </c>
      <c r="I37" s="6" t="n">
        <v>1</v>
      </c>
      <c r="J37" s="13" t="n"/>
      <c r="K37" s="13" t="n"/>
      <c r="L37" s="13" t="n"/>
      <c r="M37" s="13" t="n"/>
      <c r="N37" s="13" t="n"/>
      <c r="O37" s="13" t="n"/>
      <c r="P37" s="13" t="n"/>
      <c r="Q37" s="13" t="n"/>
      <c r="R37" s="12" t="n"/>
      <c r="S37" s="13" t="n"/>
      <c r="T37" s="13" t="n"/>
      <c r="U37" s="13" t="n"/>
    </row>
    <row r="38">
      <c r="A38" s="5" t="inlineStr">
        <is>
          <t>T-14</t>
        </is>
      </c>
      <c r="B38" s="15" t="inlineStr">
        <is>
          <t>PM</t>
        </is>
      </c>
      <c r="C38" s="5" t="inlineStr">
        <is>
          <t>CV</t>
        </is>
      </c>
      <c r="D38" s="5" t="inlineStr">
        <is>
          <t>フォーム離脱率分析・改善</t>
        </is>
      </c>
      <c r="E38" s="5" t="inlineStr">
        <is>
          <t>05/18</t>
        </is>
      </c>
      <c r="F38" s="5" t="inlineStr">
        <is>
          <t>06/01</t>
        </is>
      </c>
      <c r="G38" s="5" t="n">
        <v>14</v>
      </c>
      <c r="H38" s="16" t="inlineStr">
        <is>
          <t>未着手</t>
        </is>
      </c>
      <c r="I38" s="6" t="n">
        <v>0</v>
      </c>
      <c r="J38" s="13" t="n"/>
      <c r="K38" s="13" t="n"/>
      <c r="L38" s="13" t="n"/>
      <c r="M38" s="13" t="n"/>
      <c r="N38" s="13" t="n"/>
      <c r="O38" s="13" t="n"/>
      <c r="P38" s="13" t="n"/>
      <c r="Q38" s="13" t="n"/>
      <c r="R38" s="12" t="n"/>
      <c r="S38" s="12" t="n"/>
      <c r="T38" s="13" t="n"/>
      <c r="U38" s="13" t="n"/>
    </row>
    <row r="39">
      <c r="A39" s="5" t="inlineStr">
        <is>
          <t>T-15</t>
        </is>
      </c>
      <c r="B39" s="15" t="inlineStr">
        <is>
          <t>PM</t>
        </is>
      </c>
      <c r="C39" s="5" t="inlineStr">
        <is>
          <t>データ</t>
        </is>
      </c>
      <c r="D39" s="5" t="inlineStr">
        <is>
          <t>データ活用ロードマップ確定</t>
        </is>
      </c>
      <c r="E39" s="5" t="inlineStr">
        <is>
          <t>05/25</t>
        </is>
      </c>
      <c r="F39" s="5" t="inlineStr">
        <is>
          <t>06/08</t>
        </is>
      </c>
      <c r="G39" s="5" t="n">
        <v>14</v>
      </c>
      <c r="H39" s="9" t="inlineStr">
        <is>
          <t>完了</t>
        </is>
      </c>
      <c r="I39" s="6" t="n">
        <v>1</v>
      </c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2" t="n"/>
      <c r="T39" s="12" t="n"/>
      <c r="U39" s="13" t="n"/>
    </row>
    <row r="40">
      <c r="A40" s="5" t="inlineStr">
        <is>
          <t>T-16</t>
        </is>
      </c>
      <c r="B40" s="15" t="inlineStr">
        <is>
          <t>PM</t>
        </is>
      </c>
      <c r="C40" s="5" t="inlineStr">
        <is>
          <t>データ</t>
        </is>
      </c>
      <c r="D40" s="5" t="inlineStr">
        <is>
          <t>月次データレポート作成</t>
        </is>
      </c>
      <c r="E40" s="5" t="inlineStr">
        <is>
          <t>06/01</t>
        </is>
      </c>
      <c r="F40" s="5" t="inlineStr">
        <is>
          <t>06/15</t>
        </is>
      </c>
      <c r="G40" s="5" t="n">
        <v>14</v>
      </c>
      <c r="H40" s="9" t="inlineStr">
        <is>
          <t>完了</t>
        </is>
      </c>
      <c r="I40" s="6" t="n">
        <v>1</v>
      </c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2" t="n"/>
      <c r="U40" s="12" t="n"/>
    </row>
    <row r="41">
      <c r="A41" s="5" t="inlineStr">
        <is>
          <t>T-23</t>
        </is>
      </c>
      <c r="B41" s="14" t="inlineStr">
        <is>
          <t>コンテンツ</t>
        </is>
      </c>
      <c r="C41" s="5" t="inlineStr">
        <is>
          <t>コンテンツ</t>
        </is>
      </c>
      <c r="D41" s="5" t="inlineStr">
        <is>
          <t>比較コンテンツ制作</t>
        </is>
      </c>
      <c r="E41" s="5" t="inlineStr">
        <is>
          <t>05/18</t>
        </is>
      </c>
      <c r="F41" s="5" t="inlineStr">
        <is>
          <t>06/15</t>
        </is>
      </c>
      <c r="G41" s="5" t="n">
        <v>28</v>
      </c>
      <c r="H41" s="9" t="inlineStr">
        <is>
          <t>完了</t>
        </is>
      </c>
      <c r="I41" s="6" t="n">
        <v>1</v>
      </c>
      <c r="J41" s="13" t="n"/>
      <c r="K41" s="13" t="n"/>
      <c r="L41" s="13" t="n"/>
      <c r="M41" s="13" t="n"/>
      <c r="N41" s="13" t="n"/>
      <c r="O41" s="13" t="n"/>
      <c r="P41" s="13" t="n"/>
      <c r="Q41" s="13" t="n"/>
      <c r="R41" s="12" t="n"/>
      <c r="S41" s="12" t="n"/>
      <c r="T41" s="12" t="n"/>
      <c r="U41" s="12" t="n"/>
    </row>
    <row r="42">
      <c r="A42" s="5" t="inlineStr">
        <is>
          <t>T-24</t>
        </is>
      </c>
      <c r="B42" s="14" t="inlineStr">
        <is>
          <t>コンテンツ</t>
        </is>
      </c>
      <c r="C42" s="5" t="inlineStr">
        <is>
          <t>コンテンツ</t>
        </is>
      </c>
      <c r="D42" s="5" t="inlineStr">
        <is>
          <t>AIチャット用FAQ整理</t>
        </is>
      </c>
      <c r="E42" s="5" t="inlineStr">
        <is>
          <t>05/25</t>
        </is>
      </c>
      <c r="F42" s="5" t="inlineStr">
        <is>
          <t>06/08</t>
        </is>
      </c>
      <c r="G42" s="5" t="n">
        <v>14</v>
      </c>
      <c r="H42" s="9" t="inlineStr">
        <is>
          <t>完了</t>
        </is>
      </c>
      <c r="I42" s="6" t="n">
        <v>1</v>
      </c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2" t="n"/>
      <c r="T42" s="12" t="n"/>
      <c r="U42" s="13" t="n"/>
    </row>
    <row r="43">
      <c r="A43" s="5" t="inlineStr">
        <is>
          <t>T-41</t>
        </is>
      </c>
      <c r="B43" s="11" t="inlineStr">
        <is>
          <t>経営</t>
        </is>
      </c>
      <c r="C43" s="5" t="inlineStr">
        <is>
          <t>戦略</t>
        </is>
      </c>
      <c r="D43" s="5" t="inlineStr">
        <is>
          <t>年間事業計画策定</t>
        </is>
      </c>
      <c r="E43" s="5" t="inlineStr">
        <is>
          <t>06/01</t>
        </is>
      </c>
      <c r="F43" s="5" t="inlineStr">
        <is>
          <t>06/15</t>
        </is>
      </c>
      <c r="G43" s="5" t="n">
        <v>14</v>
      </c>
      <c r="H43" s="16" t="inlineStr">
        <is>
          <t>未着手</t>
        </is>
      </c>
      <c r="I43" s="6" t="n">
        <v>0</v>
      </c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2" t="n"/>
      <c r="U43" s="12" t="n"/>
    </row>
    <row r="44">
      <c r="A44" s="5" t="inlineStr">
        <is>
          <t>T-34</t>
        </is>
      </c>
      <c r="B44" s="11" t="inlineStr">
        <is>
          <t>経営</t>
        </is>
      </c>
      <c r="C44" s="5" t="inlineStr">
        <is>
          <t>オペ</t>
        </is>
      </c>
      <c r="D44" s="5" t="inlineStr">
        <is>
          <t>SLA設定</t>
        </is>
      </c>
      <c r="E44" s="5" t="inlineStr">
        <is>
          <t>06/01</t>
        </is>
      </c>
      <c r="F44" s="5" t="inlineStr">
        <is>
          <t>06/08</t>
        </is>
      </c>
      <c r="G44" s="5" t="n">
        <v>7</v>
      </c>
      <c r="H44" s="9" t="inlineStr">
        <is>
          <t>完了</t>
        </is>
      </c>
      <c r="I44" s="6" t="n">
        <v>1</v>
      </c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2" t="n"/>
      <c r="U44" s="13" t="n"/>
    </row>
    <row r="45">
      <c r="A45" s="43" t="inlineStr">
        <is>
          <t>T-45</t>
        </is>
      </c>
      <c r="B45" s="43" t="inlineStr">
        <is>
          <t>銀行への提案（ぺいほーむ特別金利）</t>
        </is>
      </c>
      <c r="C45" s="43" t="inlineStr">
        <is>
          <t>経営/営業</t>
        </is>
      </c>
      <c r="D45" s="43" t="inlineStr">
        <is>
          <t>2026-04-15</t>
        </is>
      </c>
      <c r="E45" s="43" t="inlineStr">
        <is>
          <t>2026-06-30</t>
        </is>
      </c>
      <c r="F45" s="43" t="inlineStr">
        <is>
          <t>未着手</t>
        </is>
      </c>
    </row>
    <row r="46">
      <c r="A46" s="43" t="inlineStr">
        <is>
          <t>T-46</t>
        </is>
      </c>
      <c r="B46" s="43" t="inlineStr">
        <is>
          <t>不動産会社との提携交渉</t>
        </is>
      </c>
      <c r="C46" s="43" t="inlineStr">
        <is>
          <t>経営/営業</t>
        </is>
      </c>
      <c r="D46" s="43" t="inlineStr">
        <is>
          <t>2026-05-01</t>
        </is>
      </c>
      <c r="E46" s="43" t="inlineStr">
        <is>
          <t>2026-07-31</t>
        </is>
      </c>
      <c r="F46" s="43" t="inlineStr">
        <is>
          <t>未着手</t>
        </is>
      </c>
    </row>
    <row r="47">
      <c r="A47" s="43" t="inlineStr">
        <is>
          <t>T-47</t>
        </is>
      </c>
      <c r="B47" s="43" t="inlineStr">
        <is>
          <t>住宅展示場・イベント出展交渉</t>
        </is>
      </c>
      <c r="C47" s="43" t="inlineStr">
        <is>
          <t>経営/営業</t>
        </is>
      </c>
      <c r="D47" s="43" t="inlineStr">
        <is>
          <t>2026-06-01</t>
        </is>
      </c>
      <c r="E47" s="43" t="inlineStr">
        <is>
          <t>2026-09-30</t>
        </is>
      </c>
      <c r="F47" s="43" t="inlineStr">
        <is>
          <t>未着手</t>
        </is>
      </c>
    </row>
    <row r="48">
      <c r="A48" s="43" t="inlineStr">
        <is>
          <t>T-48</t>
        </is>
      </c>
      <c r="B48" s="43" t="inlineStr">
        <is>
          <t>火災保険・引越し業者アライアンス</t>
        </is>
      </c>
      <c r="C48" s="43" t="inlineStr">
        <is>
          <t>経営/営業</t>
        </is>
      </c>
      <c r="D48" s="43" t="inlineStr">
        <is>
          <t>2026-07-01</t>
        </is>
      </c>
      <c r="E48" s="43" t="inlineStr">
        <is>
          <t>2026-09-30</t>
        </is>
      </c>
      <c r="F48" s="43" t="inlineStr">
        <is>
          <t>未着手</t>
        </is>
      </c>
    </row>
    <row r="49">
      <c r="A49" s="43" t="inlineStr">
        <is>
          <t>T-49</t>
        </is>
      </c>
      <c r="B49" s="43" t="inlineStr">
        <is>
          <t>補助金・助成金情報の定期更新</t>
        </is>
      </c>
      <c r="C49" s="43" t="inlineStr">
        <is>
          <t>コンテンツ</t>
        </is>
      </c>
      <c r="D49" s="43" t="inlineStr">
        <is>
          <t>2026-04-01</t>
        </is>
      </c>
      <c r="E49" s="43" t="inlineStr">
        <is>
          <t>2026-04-30</t>
        </is>
      </c>
      <c r="F49" s="43" t="inlineStr">
        <is>
          <t>未着手</t>
        </is>
      </c>
    </row>
    <row r="50">
      <c r="A50" s="43" t="inlineStr">
        <is>
          <t>T-50</t>
        </is>
      </c>
      <c r="B50" s="43" t="inlineStr">
        <is>
          <t>Instagram運用開始</t>
        </is>
      </c>
      <c r="C50" s="43" t="inlineStr">
        <is>
          <t>マーケ</t>
        </is>
      </c>
      <c r="D50" s="43" t="inlineStr">
        <is>
          <t>2026-04-15</t>
        </is>
      </c>
      <c r="E50" s="43" t="inlineStr">
        <is>
          <t>2026-05-31</t>
        </is>
      </c>
      <c r="F50" s="43" t="inlineStr">
        <is>
          <t>未着手</t>
        </is>
      </c>
    </row>
    <row r="51">
      <c r="A51" s="43" t="inlineStr">
        <is>
          <t>T-51</t>
        </is>
      </c>
      <c r="B51" s="43" t="inlineStr">
        <is>
          <t>既存YouTube視聴者アンケート実施</t>
        </is>
      </c>
      <c r="C51" s="43" t="inlineStr">
        <is>
          <t>経営/マーケ</t>
        </is>
      </c>
      <c r="D51" s="43" t="inlineStr">
        <is>
          <t>2026-04-01</t>
        </is>
      </c>
      <c r="E51" s="43" t="inlineStr">
        <is>
          <t>2026-04-21</t>
        </is>
      </c>
      <c r="F51" s="43" t="inlineStr">
        <is>
          <t>未着手</t>
        </is>
      </c>
    </row>
    <row r="52">
      <c r="A52" s="43" t="inlineStr">
        <is>
          <t>T-52</t>
        </is>
      </c>
      <c r="B52" s="43" t="inlineStr">
        <is>
          <t>カスタマーサポート体制構築</t>
        </is>
      </c>
      <c r="C52" s="43" t="inlineStr">
        <is>
          <t>経営/CS</t>
        </is>
      </c>
      <c r="D52" s="43" t="inlineStr">
        <is>
          <t>2026-04-01</t>
        </is>
      </c>
      <c r="E52" s="43" t="inlineStr">
        <is>
          <t>2026-04-14</t>
        </is>
      </c>
      <c r="F52" s="43" t="inlineStr">
        <is>
          <t>未着手</t>
        </is>
      </c>
    </row>
    <row r="53">
      <c r="A53" s="43" t="inlineStr">
        <is>
          <t>T-53</t>
        </is>
      </c>
      <c r="B53" s="43" t="inlineStr">
        <is>
          <t>掲載工務店の施工事例写真収集</t>
        </is>
      </c>
      <c r="C53" s="43" t="inlineStr">
        <is>
          <t>コンテンツ/営業</t>
        </is>
      </c>
      <c r="D53" s="43" t="inlineStr">
        <is>
          <t>2026-04-07</t>
        </is>
      </c>
      <c r="E53" s="43" t="inlineStr">
        <is>
          <t>2026-05-15</t>
        </is>
      </c>
      <c r="F53" s="43" t="inlineStr">
        <is>
          <t>未着手</t>
        </is>
      </c>
    </row>
    <row r="54">
      <c r="A54" s="43" t="inlineStr">
        <is>
          <t>T-54</t>
        </is>
      </c>
      <c r="B54" s="43" t="inlineStr">
        <is>
          <t>競合分析レポート作成</t>
        </is>
      </c>
      <c r="C54" s="43" t="inlineStr">
        <is>
          <t>経営/PM</t>
        </is>
      </c>
      <c r="D54" s="43" t="inlineStr">
        <is>
          <t>2026-04-14</t>
        </is>
      </c>
      <c r="E54" s="43" t="inlineStr">
        <is>
          <t>2026-05-07</t>
        </is>
      </c>
      <c r="F54" s="43" t="inlineStr">
        <is>
          <t>未着手</t>
        </is>
      </c>
    </row>
  </sheetData>
  <mergeCells count="3">
    <mergeCell ref="A35:U35"/>
    <mergeCell ref="A25:U25"/>
    <mergeCell ref="A2:U2"/>
  </mergeCells>
  <dataValidations count="1">
    <dataValidation sqref="H2:H60" showDropDown="0" showInputMessage="0" showErrorMessage="0" allowBlank="1" type="list">
      <formula1>"未着手,進行中,確認中,完了,保留"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8740C"/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26" customWidth="1" min="3" max="3"/>
    <col width="10" customWidth="1" min="4" max="4"/>
    <col width="8" customWidth="1" min="5" max="5"/>
    <col width="6" customWidth="1" min="6" max="6"/>
    <col width="8" customWidth="1" min="7" max="7"/>
    <col width="30" customWidth="1" min="8" max="8"/>
    <col width="12" customWidth="1" min="9" max="9"/>
  </cols>
  <sheetData>
    <row r="1">
      <c r="A1" s="4" t="inlineStr">
        <is>
          <t>担当</t>
        </is>
      </c>
      <c r="B1" s="4" t="inlineStr">
        <is>
          <t>ID</t>
        </is>
      </c>
      <c r="C1" s="4" t="inlineStr">
        <is>
          <t>タスク名</t>
        </is>
      </c>
      <c r="D1" s="4" t="inlineStr">
        <is>
          <t>カテゴリ</t>
        </is>
      </c>
      <c r="E1" s="4" t="inlineStr">
        <is>
          <t>期限</t>
        </is>
      </c>
      <c r="F1" s="4" t="inlineStr">
        <is>
          <t>優先度</t>
        </is>
      </c>
      <c r="G1" s="4" t="inlineStr">
        <is>
          <t>ステータス</t>
        </is>
      </c>
      <c r="H1" s="4" t="inlineStr">
        <is>
          <t>次のアクション</t>
        </is>
      </c>
      <c r="I1" s="4" t="inlineStr">
        <is>
          <t>備考</t>
        </is>
      </c>
    </row>
    <row r="2">
      <c r="A2" s="44" t="inlineStr">
        <is>
          <t>T-45</t>
        </is>
      </c>
      <c r="B2" s="44" t="inlineStr">
        <is>
          <t>経営/営業</t>
        </is>
      </c>
      <c r="C2" s="44" t="inlineStr">
        <is>
          <t>銀行への提案（ぺいほーむ特別金利）</t>
        </is>
      </c>
      <c r="D2" s="44" t="inlineStr">
        <is>
          <t>中</t>
        </is>
      </c>
      <c r="E2" s="44" t="inlineStr">
        <is>
          <t>2026-06-30</t>
        </is>
      </c>
      <c r="F2" s="44" t="inlineStr">
        <is>
          <t>未着手</t>
        </is>
      </c>
      <c r="G2" s="16" t="n"/>
      <c r="H2" s="16" t="n"/>
      <c r="I2" s="16" t="n"/>
    </row>
    <row r="3">
      <c r="A3" s="45" t="inlineStr">
        <is>
          <t>T-46</t>
        </is>
      </c>
      <c r="B3" s="46" t="inlineStr">
        <is>
          <t>経営/営業</t>
        </is>
      </c>
      <c r="C3" s="46" t="inlineStr">
        <is>
          <t>不動産会社との提携交渉</t>
        </is>
      </c>
      <c r="D3" s="46" t="inlineStr">
        <is>
          <t>中</t>
        </is>
      </c>
      <c r="E3" s="46" t="inlineStr">
        <is>
          <t>2026-07-31</t>
        </is>
      </c>
      <c r="F3" s="47" t="inlineStr">
        <is>
          <t>未着手</t>
        </is>
      </c>
      <c r="G3" s="9" t="inlineStr">
        <is>
          <t>完了</t>
        </is>
      </c>
      <c r="H3" s="5" t="inlineStr">
        <is>
          <t>AIで草案3パターン生成→選定</t>
        </is>
      </c>
      <c r="I3" s="5" t="n"/>
    </row>
    <row r="4">
      <c r="A4" s="45" t="inlineStr">
        <is>
          <t>T-47</t>
        </is>
      </c>
      <c r="B4" s="46" t="inlineStr">
        <is>
          <t>経営/営業</t>
        </is>
      </c>
      <c r="C4" s="46" t="inlineStr">
        <is>
          <t>住宅展示場・イベント出展交渉</t>
        </is>
      </c>
      <c r="D4" s="46" t="inlineStr">
        <is>
          <t>低</t>
        </is>
      </c>
      <c r="E4" s="46" t="inlineStr">
        <is>
          <t>2026-09-30</t>
        </is>
      </c>
      <c r="F4" s="47" t="inlineStr">
        <is>
          <t>未着手</t>
        </is>
      </c>
      <c r="G4" s="9" t="inlineStr">
        <is>
          <t>完了</t>
        </is>
      </c>
      <c r="H4" s="5" t="inlineStr">
        <is>
          <t>AIで構成案作成→レビュー</t>
        </is>
      </c>
      <c r="I4" s="5" t="n"/>
    </row>
    <row r="5">
      <c r="A5" s="45" t="inlineStr">
        <is>
          <t>T-48</t>
        </is>
      </c>
      <c r="B5" s="46" t="inlineStr">
        <is>
          <t>経営/営業</t>
        </is>
      </c>
      <c r="C5" s="46" t="inlineStr">
        <is>
          <t>火災保険・引越し業者アライアンス</t>
        </is>
      </c>
      <c r="D5" s="46" t="inlineStr">
        <is>
          <t>低</t>
        </is>
      </c>
      <c r="E5" s="46" t="inlineStr">
        <is>
          <t>2026-09-30</t>
        </is>
      </c>
      <c r="F5" s="47" t="inlineStr">
        <is>
          <t>未着手</t>
        </is>
      </c>
      <c r="G5" s="16" t="inlineStr">
        <is>
          <t>未着手</t>
        </is>
      </c>
      <c r="H5" s="5" t="inlineStr">
        <is>
          <t>競合調査→3プラン価格決定</t>
        </is>
      </c>
      <c r="I5" s="5" t="n"/>
    </row>
    <row r="6">
      <c r="A6" s="45" t="inlineStr">
        <is>
          <t>T-49</t>
        </is>
      </c>
      <c r="B6" s="46" t="inlineStr">
        <is>
          <t>コンテンツ</t>
        </is>
      </c>
      <c r="C6" s="46" t="inlineStr">
        <is>
          <t>補助金・助成金情報の定期更新</t>
        </is>
      </c>
      <c r="D6" s="46" t="inlineStr">
        <is>
          <t>高</t>
        </is>
      </c>
      <c r="E6" s="46" t="inlineStr">
        <is>
          <t>2026-04-30</t>
        </is>
      </c>
      <c r="F6" s="47" t="inlineStr">
        <is>
          <t>未着手</t>
        </is>
      </c>
      <c r="G6" s="9" t="inlineStr">
        <is>
          <t>完了</t>
        </is>
      </c>
      <c r="H6" s="5" t="inlineStr">
        <is>
          <t>AIでフロー草案→調整</t>
        </is>
      </c>
      <c r="I6" s="5" t="n"/>
    </row>
    <row r="7">
      <c r="A7" s="45" t="inlineStr">
        <is>
          <t>T-50</t>
        </is>
      </c>
      <c r="B7" s="46" t="inlineStr">
        <is>
          <t>マーケ</t>
        </is>
      </c>
      <c r="C7" s="46" t="inlineStr">
        <is>
          <t>Instagram運用開始</t>
        </is>
      </c>
      <c r="D7" s="46" t="inlineStr">
        <is>
          <t>中</t>
        </is>
      </c>
      <c r="E7" s="46" t="inlineStr">
        <is>
          <t>2026-05-31</t>
        </is>
      </c>
      <c r="F7" s="47" t="inlineStr">
        <is>
          <t>未着手</t>
        </is>
      </c>
      <c r="G7" s="9" t="inlineStr">
        <is>
          <t>完了</t>
        </is>
      </c>
      <c r="H7" s="5" t="inlineStr">
        <is>
          <t>AIでフロー草案→確定</t>
        </is>
      </c>
      <c r="I7" s="5" t="n"/>
    </row>
    <row r="8">
      <c r="A8" s="45" t="inlineStr">
        <is>
          <t>T-51</t>
        </is>
      </c>
      <c r="B8" s="46" t="inlineStr">
        <is>
          <t>経営/マーケ</t>
        </is>
      </c>
      <c r="C8" s="46" t="inlineStr">
        <is>
          <t>既存YouTube視聴者アンケート実施</t>
        </is>
      </c>
      <c r="D8" s="46" t="inlineStr">
        <is>
          <t>高</t>
        </is>
      </c>
      <c r="E8" s="46" t="inlineStr">
        <is>
          <t>2026-04-21</t>
        </is>
      </c>
      <c r="F8" s="47" t="inlineStr">
        <is>
          <t>未着手</t>
        </is>
      </c>
      <c r="G8" s="16" t="inlineStr">
        <is>
          <t>未着手</t>
        </is>
      </c>
      <c r="H8" s="5" t="inlineStr">
        <is>
          <t>アポ取得→提案書持参→交渉</t>
        </is>
      </c>
      <c r="I8" s="5" t="n"/>
    </row>
    <row r="9">
      <c r="A9" s="45" t="inlineStr">
        <is>
          <t>T-52</t>
        </is>
      </c>
      <c r="B9" s="46" t="inlineStr">
        <is>
          <t>経営/CS</t>
        </is>
      </c>
      <c r="C9" s="46" t="inlineStr">
        <is>
          <t>カスタマーサポート体制構築</t>
        </is>
      </c>
      <c r="D9" s="46" t="inlineStr">
        <is>
          <t>高</t>
        </is>
      </c>
      <c r="E9" s="46" t="inlineStr">
        <is>
          <t>2026-04-14</t>
        </is>
      </c>
      <c r="F9" s="47" t="inlineStr">
        <is>
          <t>未着手</t>
        </is>
      </c>
      <c r="G9" s="16" t="inlineStr">
        <is>
          <t>未着手</t>
        </is>
      </c>
      <c r="H9" s="5" t="inlineStr">
        <is>
          <t>T-19の結果→契約締結</t>
        </is>
      </c>
      <c r="I9" s="5" t="inlineStr">
        <is>
          <t>最重要</t>
        </is>
      </c>
    </row>
    <row r="10">
      <c r="A10" s="45" t="inlineStr">
        <is>
          <t>T-53</t>
        </is>
      </c>
      <c r="B10" s="46" t="inlineStr">
        <is>
          <t>コンテンツ/営業</t>
        </is>
      </c>
      <c r="C10" s="46" t="inlineStr">
        <is>
          <t>掲載工務店の施工事例写真収集</t>
        </is>
      </c>
      <c r="D10" s="46" t="inlineStr">
        <is>
          <t>高</t>
        </is>
      </c>
      <c r="E10" s="46" t="inlineStr">
        <is>
          <t>2026-05-15</t>
        </is>
      </c>
      <c r="F10" s="47" t="inlineStr">
        <is>
          <t>未着手</t>
        </is>
      </c>
      <c r="G10" s="16" t="inlineStr">
        <is>
          <t>未着手</t>
        </is>
      </c>
      <c r="H10" s="5" t="inlineStr">
        <is>
          <t>Q2/Q3/Q4目標値設定</t>
        </is>
      </c>
      <c r="I10" s="5" t="n"/>
    </row>
    <row r="11">
      <c r="A11" s="45" t="inlineStr">
        <is>
          <t>T-54</t>
        </is>
      </c>
      <c r="B11" s="46" t="inlineStr">
        <is>
          <t>経営/PM</t>
        </is>
      </c>
      <c r="C11" s="46" t="inlineStr">
        <is>
          <t>競合分析レポート作成</t>
        </is>
      </c>
      <c r="D11" s="46" t="inlineStr">
        <is>
          <t>中</t>
        </is>
      </c>
      <c r="E11" s="46" t="inlineStr">
        <is>
          <t>2026-05-07</t>
        </is>
      </c>
      <c r="F11" s="47" t="inlineStr">
        <is>
          <t>未着手</t>
        </is>
      </c>
      <c r="G11" s="16" t="inlineStr">
        <is>
          <t>未着手</t>
        </is>
      </c>
      <c r="H11" s="5" t="inlineStr">
        <is>
          <t>3プランの最終価格決定</t>
        </is>
      </c>
      <c r="I11" s="5" t="inlineStr">
        <is>
          <t>経営専権</t>
        </is>
      </c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r="13">
      <c r="A13" s="9" t="inlineStr">
        <is>
          <t>営業</t>
        </is>
      </c>
      <c r="B13" s="5" t="inlineStr">
        <is>
          <t>T-28</t>
        </is>
      </c>
      <c r="C13" s="5" t="inlineStr">
        <is>
          <t>工務店再ヒアリング(1-3社)</t>
        </is>
      </c>
      <c r="D13" s="5" t="inlineStr">
        <is>
          <t>品質</t>
        </is>
      </c>
      <c r="E13" s="5" t="inlineStr">
        <is>
          <t>04/21</t>
        </is>
      </c>
      <c r="F13" s="18" t="inlineStr">
        <is>
          <t>高</t>
        </is>
      </c>
      <c r="G13" s="16" t="inlineStr">
        <is>
          <t>未着手</t>
        </is>
      </c>
      <c r="H13" s="5" t="inlineStr">
        <is>
          <t>質問シート(T-27)→訪問実施</t>
        </is>
      </c>
      <c r="I13" s="5" t="n"/>
    </row>
    <row r="14">
      <c r="A14" s="9" t="inlineStr">
        <is>
          <t>営業</t>
        </is>
      </c>
      <c r="B14" s="5" t="inlineStr">
        <is>
          <t>T-05</t>
        </is>
      </c>
      <c r="C14" s="5" t="inlineStr">
        <is>
          <t>ターゲットリスト50社</t>
        </is>
      </c>
      <c r="D14" s="5" t="inlineStr">
        <is>
          <t>戦略</t>
        </is>
      </c>
      <c r="E14" s="5" t="inlineStr">
        <is>
          <t>05/02</t>
        </is>
      </c>
      <c r="F14" s="19" t="inlineStr">
        <is>
          <t>中</t>
        </is>
      </c>
      <c r="G14" s="16" t="inlineStr">
        <is>
          <t>未着手</t>
        </is>
      </c>
      <c r="H14" s="5" t="inlineStr">
        <is>
          <t>AI補助でリスト収集→人間確認</t>
        </is>
      </c>
      <c r="I14" s="5" t="n"/>
    </row>
    <row r="15">
      <c r="A15" s="9" t="inlineStr">
        <is>
          <t>営業</t>
        </is>
      </c>
      <c r="B15" s="5" t="inlineStr">
        <is>
          <t>T-20</t>
        </is>
      </c>
      <c r="C15" s="5" t="inlineStr">
        <is>
          <t>新規アプローチ(月5社)</t>
        </is>
      </c>
      <c r="D15" s="5" t="inlineStr">
        <is>
          <t>営業</t>
        </is>
      </c>
      <c r="E15" s="5" t="inlineStr">
        <is>
          <t>05/22</t>
        </is>
      </c>
      <c r="F15" s="19" t="inlineStr">
        <is>
          <t>中</t>
        </is>
      </c>
      <c r="G15" s="16" t="inlineStr">
        <is>
          <t>未着手</t>
        </is>
      </c>
      <c r="H15" s="5" t="inlineStr">
        <is>
          <t>リスト→アポ→提案</t>
        </is>
      </c>
      <c r="I15" s="5" t="n"/>
    </row>
    <row r="16">
      <c r="A16" s="9" t="inlineStr">
        <is>
          <t>営業</t>
        </is>
      </c>
      <c r="B16" s="5" t="inlineStr">
        <is>
          <t>T-18</t>
        </is>
      </c>
      <c r="C16" s="5" t="inlineStr">
        <is>
          <t>契約書テンプレート</t>
        </is>
      </c>
      <c r="D16" s="5" t="inlineStr">
        <is>
          <t>営業</t>
        </is>
      </c>
      <c r="E16" s="5" t="inlineStr">
        <is>
          <t>04/14</t>
        </is>
      </c>
      <c r="F16" s="18" t="inlineStr">
        <is>
          <t>高</t>
        </is>
      </c>
      <c r="G16" s="9" t="inlineStr">
        <is>
          <t>完了</t>
        </is>
      </c>
      <c r="H16" s="5" t="inlineStr">
        <is>
          <t>AIで草案→法務確認</t>
        </is>
      </c>
      <c r="I16" s="5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r="18">
      <c r="A18" s="15" t="inlineStr">
        <is>
          <t>PM</t>
        </is>
      </c>
      <c r="B18" s="5" t="inlineStr">
        <is>
          <t>T-09</t>
        </is>
      </c>
      <c r="C18" s="5" t="inlineStr">
        <is>
          <t>GA4セットアップ</t>
        </is>
      </c>
      <c r="D18" s="5" t="inlineStr">
        <is>
          <t>計測</t>
        </is>
      </c>
      <c r="E18" s="5" t="inlineStr">
        <is>
          <t>03/31</t>
        </is>
      </c>
      <c r="F18" s="18" t="inlineStr">
        <is>
          <t>高</t>
        </is>
      </c>
      <c r="G18" s="16" t="inlineStr">
        <is>
          <t>未着手</t>
        </is>
      </c>
      <c r="H18" s="5" t="inlineStr">
        <is>
          <t>エンジニアと連携→設定完了</t>
        </is>
      </c>
      <c r="I18" s="5" t="n"/>
    </row>
    <row r="19">
      <c r="A19" s="15" t="inlineStr">
        <is>
          <t>PM</t>
        </is>
      </c>
      <c r="B19" s="5" t="inlineStr">
        <is>
          <t>T-02</t>
        </is>
      </c>
      <c r="C19" s="5" t="inlineStr">
        <is>
          <t>KPI定義・計測開始</t>
        </is>
      </c>
      <c r="D19" s="5" t="inlineStr">
        <is>
          <t>計測</t>
        </is>
      </c>
      <c r="E19" s="5" t="inlineStr">
        <is>
          <t>04/07</t>
        </is>
      </c>
      <c r="F19" s="18" t="inlineStr">
        <is>
          <t>高</t>
        </is>
      </c>
      <c r="G19" s="16" t="inlineStr">
        <is>
          <t>未着手</t>
        </is>
      </c>
      <c r="H19" s="5" t="inlineStr">
        <is>
          <t>5項目選定→計測設計→稼働</t>
        </is>
      </c>
      <c r="I19" s="5" t="n"/>
    </row>
    <row r="20">
      <c r="A20" s="15" t="inlineStr">
        <is>
          <t>PM</t>
        </is>
      </c>
      <c r="B20" s="5" t="inlineStr">
        <is>
          <t>T-38</t>
        </is>
      </c>
      <c r="C20" s="5" t="inlineStr">
        <is>
          <t>週次KPIレポート開始</t>
        </is>
      </c>
      <c r="D20" s="5" t="inlineStr">
        <is>
          <t>計測</t>
        </is>
      </c>
      <c r="E20" s="5" t="inlineStr">
        <is>
          <t>04/21</t>
        </is>
      </c>
      <c r="F20" s="18" t="inlineStr">
        <is>
          <t>高</t>
        </is>
      </c>
      <c r="G20" s="9" t="inlineStr">
        <is>
          <t>完了</t>
        </is>
      </c>
      <c r="H20" s="5" t="inlineStr">
        <is>
          <t>テンプレート作成→毎週実施</t>
        </is>
      </c>
      <c r="I20" s="5" t="n"/>
    </row>
    <row r="21">
      <c r="A21" s="15" t="inlineStr">
        <is>
          <t>PM</t>
        </is>
      </c>
      <c r="B21" s="5" t="inlineStr">
        <is>
          <t>T-13</t>
        </is>
      </c>
      <c r="C21" s="5" t="inlineStr">
        <is>
          <t>CV率計測開始</t>
        </is>
      </c>
      <c r="D21" s="5" t="inlineStr">
        <is>
          <t>CV</t>
        </is>
      </c>
      <c r="E21" s="5" t="inlineStr">
        <is>
          <t>04/21</t>
        </is>
      </c>
      <c r="F21" s="19" t="inlineStr">
        <is>
          <t>中</t>
        </is>
      </c>
      <c r="G21" s="16" t="inlineStr">
        <is>
          <t>未着手</t>
        </is>
      </c>
      <c r="H21" s="5" t="inlineStr">
        <is>
          <t>GA4イベント→レポート化</t>
        </is>
      </c>
      <c r="I21" s="5" t="n"/>
    </row>
    <row r="22">
      <c r="A22" s="15" t="inlineStr">
        <is>
          <t>PM</t>
        </is>
      </c>
      <c r="B22" s="5" t="inlineStr">
        <is>
          <t>T-15</t>
        </is>
      </c>
      <c r="C22" s="5" t="inlineStr">
        <is>
          <t>データ活用ロードマップ</t>
        </is>
      </c>
      <c r="D22" s="5" t="inlineStr">
        <is>
          <t>データ</t>
        </is>
      </c>
      <c r="E22" s="5" t="inlineStr">
        <is>
          <t>06/08</t>
        </is>
      </c>
      <c r="F22" s="19" t="inlineStr">
        <is>
          <t>中</t>
        </is>
      </c>
      <c r="G22" s="9" t="inlineStr">
        <is>
          <t>完了</t>
        </is>
      </c>
      <c r="H22" s="5" t="inlineStr">
        <is>
          <t>AIでたたき台→経営判断</t>
        </is>
      </c>
      <c r="I22" s="5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r="24">
      <c r="A24" s="17" t="inlineStr">
        <is>
          <t>マーケ</t>
        </is>
      </c>
      <c r="B24" s="5" t="inlineStr">
        <is>
          <t>T-10</t>
        </is>
      </c>
      <c r="C24" s="5" t="inlineStr">
        <is>
          <t>YouTube概要欄CTA</t>
        </is>
      </c>
      <c r="D24" s="5" t="inlineStr">
        <is>
          <t>集客</t>
        </is>
      </c>
      <c r="E24" s="5" t="inlineStr">
        <is>
          <t>04/14</t>
        </is>
      </c>
      <c r="F24" s="18" t="inlineStr">
        <is>
          <t>高</t>
        </is>
      </c>
      <c r="G24" s="9" t="inlineStr">
        <is>
          <t>完了</t>
        </is>
      </c>
      <c r="H24" s="5" t="inlineStr">
        <is>
          <t>全動画にWeb導線テンプレ適用</t>
        </is>
      </c>
      <c r="I24" s="5" t="n"/>
    </row>
    <row r="25">
      <c r="A25" s="17" t="inlineStr">
        <is>
          <t>マーケ</t>
        </is>
      </c>
      <c r="B25" s="5" t="inlineStr">
        <is>
          <t>T-12</t>
        </is>
      </c>
      <c r="C25" s="5" t="inlineStr">
        <is>
          <t>LINE公式運用開始</t>
        </is>
      </c>
      <c r="D25" s="5" t="inlineStr">
        <is>
          <t>集客</t>
        </is>
      </c>
      <c r="E25" s="5" t="inlineStr">
        <is>
          <t>05/02</t>
        </is>
      </c>
      <c r="F25" s="19" t="inlineStr">
        <is>
          <t>中</t>
        </is>
      </c>
      <c r="G25" s="16" t="inlineStr">
        <is>
          <t>未着手</t>
        </is>
      </c>
      <c r="H25" s="5" t="inlineStr">
        <is>
          <t>開設→友だち追加導線→配信開始</t>
        </is>
      </c>
      <c r="I25" s="5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r="27">
      <c r="A27" s="14" t="inlineStr">
        <is>
          <t>コンテンツ</t>
        </is>
      </c>
      <c r="B27" s="5" t="inlineStr">
        <is>
          <t>T-25</t>
        </is>
      </c>
      <c r="C27" s="5" t="inlineStr">
        <is>
          <t>掲載基準策定</t>
        </is>
      </c>
      <c r="D27" s="5" t="inlineStr">
        <is>
          <t>品質</t>
        </is>
      </c>
      <c r="E27" s="5" t="inlineStr">
        <is>
          <t>03/31</t>
        </is>
      </c>
      <c r="F27" s="18" t="inlineStr">
        <is>
          <t>高</t>
        </is>
      </c>
      <c r="G27" s="9" t="inlineStr">
        <is>
          <t>完了</t>
        </is>
      </c>
      <c r="H27" s="5" t="inlineStr">
        <is>
          <t>AIでたたき台→レビュー→確定</t>
        </is>
      </c>
      <c r="I27" s="5" t="n"/>
    </row>
    <row r="28">
      <c r="A28" s="14" t="inlineStr">
        <is>
          <t>コンテンツ</t>
        </is>
      </c>
      <c r="B28" s="5" t="inlineStr">
        <is>
          <t>T-26</t>
        </is>
      </c>
      <c r="C28" s="5" t="inlineStr">
        <is>
          <t>全ページ文言監査</t>
        </is>
      </c>
      <c r="D28" s="5" t="inlineStr">
        <is>
          <t>品質</t>
        </is>
      </c>
      <c r="E28" s="5" t="inlineStr">
        <is>
          <t>04/07</t>
        </is>
      </c>
      <c r="F28" s="18" t="inlineStr">
        <is>
          <t>高</t>
        </is>
      </c>
      <c r="G28" s="9" t="inlineStr">
        <is>
          <t>完了</t>
        </is>
      </c>
      <c r="H28" s="5" t="inlineStr">
        <is>
          <t>AIで初期チェック→人間判定</t>
        </is>
      </c>
      <c r="I28" s="5" t="n"/>
    </row>
    <row r="29">
      <c r="A29" s="14" t="inlineStr">
        <is>
          <t>コンテンツ</t>
        </is>
      </c>
      <c r="B29" s="5" t="inlineStr">
        <is>
          <t>T-27</t>
        </is>
      </c>
      <c r="C29" s="5" t="inlineStr">
        <is>
          <t>再ヒアリング項目整理</t>
        </is>
      </c>
      <c r="D29" s="5" t="inlineStr">
        <is>
          <t>品質</t>
        </is>
      </c>
      <c r="E29" s="5" t="inlineStr">
        <is>
          <t>04/07</t>
        </is>
      </c>
      <c r="F29" s="18" t="inlineStr">
        <is>
          <t>高</t>
        </is>
      </c>
      <c r="G29" s="9" t="inlineStr">
        <is>
          <t>完了</t>
        </is>
      </c>
      <c r="H29" s="5" t="inlineStr">
        <is>
          <t>AIで草案→営業と連携</t>
        </is>
      </c>
      <c r="I29" s="5" t="n"/>
    </row>
    <row r="30">
      <c r="A30" s="14" t="inlineStr">
        <is>
          <t>コンテンツ</t>
        </is>
      </c>
      <c r="B30" s="5" t="inlineStr">
        <is>
          <t>T-21</t>
        </is>
      </c>
      <c r="C30" s="5" t="inlineStr">
        <is>
          <t>取材記事の実名化</t>
        </is>
      </c>
      <c r="D30" s="5" t="inlineStr">
        <is>
          <t>品質</t>
        </is>
      </c>
      <c r="E30" s="5" t="inlineStr">
        <is>
          <t>04/18</t>
        </is>
      </c>
      <c r="F30" s="18" t="inlineStr">
        <is>
          <t>高</t>
        </is>
      </c>
      <c r="G30" s="16" t="inlineStr">
        <is>
          <t>未着手</t>
        </is>
      </c>
      <c r="H30" s="5" t="inlineStr">
        <is>
          <t>取材先に連絡→許可→差し替え</t>
        </is>
      </c>
      <c r="I30" s="5" t="n"/>
    </row>
    <row r="31">
      <c r="A31" s="14" t="inlineStr">
        <is>
          <t>コンテンツ</t>
        </is>
      </c>
      <c r="B31" s="5" t="inlineStr">
        <is>
          <t>T-29</t>
        </is>
      </c>
      <c r="C31" s="5" t="inlineStr">
        <is>
          <t>リライト実施(5件)</t>
        </is>
      </c>
      <c r="D31" s="5" t="inlineStr">
        <is>
          <t>品質</t>
        </is>
      </c>
      <c r="E31" s="5" t="inlineStr">
        <is>
          <t>04/25</t>
        </is>
      </c>
      <c r="F31" s="19" t="inlineStr">
        <is>
          <t>中</t>
        </is>
      </c>
      <c r="G31" s="16" t="inlineStr">
        <is>
          <t>未着手</t>
        </is>
      </c>
      <c r="H31" s="5" t="inlineStr">
        <is>
          <t>AIで草案→人間レビュー→公開</t>
        </is>
      </c>
      <c r="I31" s="5" t="n"/>
    </row>
    <row r="32">
      <c r="A32" s="14" t="inlineStr">
        <is>
          <t>コンテンツ</t>
        </is>
      </c>
      <c r="B32" s="5" t="inlineStr">
        <is>
          <t>T-30</t>
        </is>
      </c>
      <c r="C32" s="5" t="inlineStr">
        <is>
          <t>SEOメタデータ一括入力</t>
        </is>
      </c>
      <c r="D32" s="5" t="inlineStr">
        <is>
          <t>品質</t>
        </is>
      </c>
      <c r="E32" s="5" t="inlineStr">
        <is>
          <t>05/02</t>
        </is>
      </c>
      <c r="F32" s="19" t="inlineStr">
        <is>
          <t>中</t>
        </is>
      </c>
      <c r="G32" s="9" t="inlineStr">
        <is>
          <t>完了</t>
        </is>
      </c>
      <c r="H32" s="5" t="inlineStr">
        <is>
          <t>AI一括生成(80件)→レビュー</t>
        </is>
      </c>
      <c r="I32" s="5" t="inlineStr">
        <is>
          <t>AI自動化◎</t>
        </is>
      </c>
    </row>
    <row r="33">
      <c r="A33" s="14" t="inlineStr">
        <is>
          <t>コンテンツ</t>
        </is>
      </c>
      <c r="B33" s="5" t="inlineStr">
        <is>
          <t>T-11</t>
        </is>
      </c>
      <c r="C33" s="5" t="inlineStr">
        <is>
          <t>SEO記事制作(月3本)</t>
        </is>
      </c>
      <c r="D33" s="5" t="inlineStr">
        <is>
          <t>集客</t>
        </is>
      </c>
      <c r="E33" s="5" t="inlineStr">
        <is>
          <t>05/15</t>
        </is>
      </c>
      <c r="F33" s="19" t="inlineStr">
        <is>
          <t>中</t>
        </is>
      </c>
      <c r="G33" s="9" t="inlineStr">
        <is>
          <t>完了</t>
        </is>
      </c>
      <c r="H33" s="5" t="inlineStr">
        <is>
          <t>AI下書き→事実確認→公開</t>
        </is>
      </c>
      <c r="I33" s="5" t="n"/>
    </row>
    <row r="34">
      <c r="A34" s="14" t="inlineStr">
        <is>
          <t>コンテンツ</t>
        </is>
      </c>
      <c r="B34" s="5" t="inlineStr">
        <is>
          <t>T-24</t>
        </is>
      </c>
      <c r="C34" s="5" t="inlineStr">
        <is>
          <t>FAQ整理(50問)</t>
        </is>
      </c>
      <c r="D34" s="5" t="inlineStr">
        <is>
          <t>コンテンツ</t>
        </is>
      </c>
      <c r="E34" s="5" t="inlineStr">
        <is>
          <t>06/08</t>
        </is>
      </c>
      <c r="F34" s="19" t="inlineStr">
        <is>
          <t>中</t>
        </is>
      </c>
      <c r="G34" s="9" t="inlineStr">
        <is>
          <t>完了</t>
        </is>
      </c>
      <c r="H34" s="5" t="inlineStr">
        <is>
          <t>AI一括生成→精査→RAG投入</t>
        </is>
      </c>
      <c r="I34" s="5" t="inlineStr">
        <is>
          <t>AI自動化◎</t>
        </is>
      </c>
    </row>
  </sheetData>
  <dataValidations count="1">
    <dataValidation sqref="G2:G60" showDropDown="0" showInputMessage="0" showErrorMessage="0" allowBlank="1" type="list">
      <formula1>"未着手,進行中,確認中,完了,保留"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8740C"/>
    <outlinePr summaryBelow="1" summaryRight="1"/>
    <pageSetUpPr/>
  </sheetPr>
  <dimension ref="A1:P79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45" customWidth="1" min="2" max="2"/>
    <col width="45" customWidth="1" min="3" max="3"/>
    <col width="45" customWidth="1" min="4" max="4"/>
    <col width="45" customWidth="1" min="5" max="5"/>
    <col width="20" customWidth="1" min="6" max="6"/>
    <col width="10" customWidth="1" min="7" max="7"/>
    <col width="6" customWidth="1" min="8" max="8"/>
    <col width="7" customWidth="1" min="9" max="9"/>
    <col width="7" customWidth="1" min="10" max="10"/>
    <col width="8" customWidth="1" min="11" max="11"/>
    <col width="6" customWidth="1" min="12" max="12"/>
    <col width="4" customWidth="1" min="13" max="13"/>
    <col width="20" customWidth="1" min="14" max="14"/>
    <col width="10" customWidth="1" min="15" max="15"/>
  </cols>
  <sheetData>
    <row r="1">
      <c r="A1" s="4" t="inlineStr">
        <is>
          <t>ID</t>
        </is>
      </c>
      <c r="B1" s="4" t="inlineStr">
        <is>
          <t>カテゴリ</t>
        </is>
      </c>
      <c r="C1" s="4" t="inlineStr">
        <is>
          <t>タスク名</t>
        </is>
      </c>
      <c r="D1" s="4" t="inlineStr">
        <is>
          <t>背景/目的</t>
        </is>
      </c>
      <c r="E1" s="4" t="inlineStr">
        <is>
          <t>具体的アクション</t>
        </is>
      </c>
      <c r="F1" s="4" t="inlineStr">
        <is>
          <t>成果物</t>
        </is>
      </c>
      <c r="G1" s="4" t="inlineStr">
        <is>
          <t>担当</t>
        </is>
      </c>
      <c r="H1" s="4" t="inlineStr">
        <is>
          <t>優先度</t>
        </is>
      </c>
      <c r="I1" s="4" t="inlineStr">
        <is>
          <t>開始日</t>
        </is>
      </c>
      <c r="J1" s="4" t="inlineStr">
        <is>
          <t>期限</t>
        </is>
      </c>
      <c r="K1" s="4" t="inlineStr">
        <is>
          <t>ステータス</t>
        </is>
      </c>
      <c r="L1" s="4" t="inlineStr">
        <is>
          <t>進捗%</t>
        </is>
      </c>
      <c r="M1" s="4" t="inlineStr">
        <is>
          <t>自動化</t>
        </is>
      </c>
      <c r="N1" s="4" t="inlineStr">
        <is>
          <t>メモ</t>
        </is>
      </c>
      <c r="O1" s="4" t="inlineStr">
        <is>
          <t>追加日</t>
        </is>
      </c>
      <c r="P1" s="33" t="inlineStr">
        <is>
          <t>フェーズ</t>
        </is>
      </c>
    </row>
    <row r="2">
      <c r="A2" s="5" t="inlineStr">
        <is>
          <t>T-01</t>
        </is>
      </c>
      <c r="B2" s="5" t="inlineStr">
        <is>
          <t>収益</t>
        </is>
      </c>
      <c r="C2" s="5" t="inlineStr">
        <is>
          <t>収益モデル初期検証</t>
        </is>
      </c>
      <c r="D2" s="5" t="inlineStr">
        <is>
          <t>全収益モデルが未検証</t>
        </is>
      </c>
      <c r="E2" s="5" t="inlineStr">
        <is>
          <t>反響課金で最初の1件を有料実施→単価・オペレーション検証</t>
        </is>
      </c>
      <c r="F2" s="5" t="inlineStr">
        <is>
          <t>検証結果レポート</t>
        </is>
      </c>
      <c r="G2" s="5" t="inlineStr">
        <is>
          <t>経営</t>
        </is>
      </c>
      <c r="H2" s="18" t="inlineStr">
        <is>
          <t>高</t>
        </is>
      </c>
      <c r="I2" s="5" t="inlineStr">
        <is>
          <t>05/18</t>
        </is>
      </c>
      <c r="J2" s="5" t="inlineStr">
        <is>
          <t>06/05</t>
        </is>
      </c>
      <c r="K2" s="16" t="inlineStr">
        <is>
          <t>未着手</t>
        </is>
      </c>
      <c r="L2" s="5" t="n">
        <v>0</v>
      </c>
      <c r="M2" s="5" t="inlineStr">
        <is>
          <t>D</t>
        </is>
      </c>
      <c r="N2" s="5" t="n"/>
      <c r="O2" s="5" t="inlineStr">
        <is>
          <t>2026-03-22</t>
        </is>
      </c>
    </row>
    <row r="3">
      <c r="A3" s="5" t="inlineStr">
        <is>
          <t>T-02</t>
        </is>
      </c>
      <c r="B3" s="5" t="inlineStr">
        <is>
          <t>計測</t>
        </is>
      </c>
      <c r="C3" s="5" t="inlineStr">
        <is>
          <t>KPI定義・計測開始</t>
        </is>
      </c>
      <c r="D3" s="5" t="inlineStr">
        <is>
          <t>KPIが定義済みだが計測未開始</t>
        </is>
      </c>
      <c r="E3" s="5" t="inlineStr">
        <is>
          <t>主要5項目選定→計測設計→週次追跡</t>
        </is>
      </c>
      <c r="F3" s="5" t="inlineStr">
        <is>
          <t>KPI一覧・計測設計書</t>
        </is>
      </c>
      <c r="G3" s="5" t="inlineStr">
        <is>
          <t>PM</t>
        </is>
      </c>
      <c r="H3" s="18" t="inlineStr">
        <is>
          <t>高</t>
        </is>
      </c>
      <c r="I3" s="5" t="inlineStr">
        <is>
          <t>03/31</t>
        </is>
      </c>
      <c r="J3" s="5" t="inlineStr">
        <is>
          <t>04/07</t>
        </is>
      </c>
      <c r="K3" s="16" t="inlineStr">
        <is>
          <t>未着手</t>
        </is>
      </c>
      <c r="L3" s="5" t="n">
        <v>0</v>
      </c>
      <c r="M3" s="5" t="inlineStr">
        <is>
          <t>B</t>
        </is>
      </c>
      <c r="N3" s="5" t="n"/>
      <c r="O3" s="5" t="inlineStr">
        <is>
          <t>2026-03-22</t>
        </is>
      </c>
    </row>
    <row r="4">
      <c r="A4" s="5" t="inlineStr">
        <is>
          <t>T-03</t>
        </is>
      </c>
      <c r="B4" s="5" t="inlineStr">
        <is>
          <t>戦略</t>
        </is>
      </c>
      <c r="C4" s="5" t="inlineStr">
        <is>
          <t>月次P/L作成</t>
        </is>
      </c>
      <c r="D4" s="5" t="inlineStr">
        <is>
          <t>収支が見える化されていない</t>
        </is>
      </c>
      <c r="E4" s="5" t="inlineStr">
        <is>
          <t>月次の収入支出を整理→損益把握</t>
        </is>
      </c>
      <c r="F4" s="5" t="inlineStr">
        <is>
          <t>P/Lテンプレート</t>
        </is>
      </c>
      <c r="G4" s="5" t="inlineStr">
        <is>
          <t>経営</t>
        </is>
      </c>
      <c r="H4" s="18" t="inlineStr">
        <is>
          <t>高</t>
        </is>
      </c>
      <c r="I4" s="5" t="inlineStr">
        <is>
          <t>05/18</t>
        </is>
      </c>
      <c r="J4" s="5" t="inlineStr">
        <is>
          <t>05/25</t>
        </is>
      </c>
      <c r="K4" s="9" t="inlineStr">
        <is>
          <t>完了</t>
        </is>
      </c>
      <c r="L4" s="5" t="n">
        <v>1</v>
      </c>
      <c r="M4" s="5" t="inlineStr">
        <is>
          <t>B</t>
        </is>
      </c>
      <c r="N4" s="5" t="n"/>
      <c r="O4" s="5" t="inlineStr">
        <is>
          <t>2026-03-22</t>
        </is>
      </c>
    </row>
    <row r="5">
      <c r="A5" s="5" t="inlineStr">
        <is>
          <t>T-04</t>
        </is>
      </c>
      <c r="B5" s="5" t="inlineStr">
        <is>
          <t>戦略</t>
        </is>
      </c>
      <c r="C5" s="5" t="inlineStr">
        <is>
          <t>ペルソナ3パターン作成</t>
        </is>
      </c>
      <c r="D5" s="5" t="inlineStr">
        <is>
          <t>YouTube実データはあるがペルソナ未言語化</t>
        </is>
      </c>
      <c r="E5" s="5" t="inlineStr">
        <is>
          <t>55-64歳/45-54歳/35-44歳の3パターン具体化</t>
        </is>
      </c>
      <c r="F5" s="5" t="inlineStr">
        <is>
          <t>ペルソナカード3枚</t>
        </is>
      </c>
      <c r="G5" s="5" t="inlineStr">
        <is>
          <t>経営</t>
        </is>
      </c>
      <c r="H5" s="18" t="inlineStr">
        <is>
          <t>高</t>
        </is>
      </c>
      <c r="I5" s="5" t="inlineStr">
        <is>
          <t>03/31</t>
        </is>
      </c>
      <c r="J5" s="5" t="inlineStr">
        <is>
          <t>04/07</t>
        </is>
      </c>
      <c r="K5" s="9" t="inlineStr">
        <is>
          <t>完了</t>
        </is>
      </c>
      <c r="L5" s="5" t="n">
        <v>1</v>
      </c>
      <c r="M5" s="5" t="inlineStr">
        <is>
          <t>B</t>
        </is>
      </c>
      <c r="N5" s="5" t="n"/>
      <c r="O5" s="5" t="inlineStr">
        <is>
          <t>2026-03-22</t>
        </is>
      </c>
    </row>
    <row r="6">
      <c r="A6" s="5" t="inlineStr">
        <is>
          <t>T-05</t>
        </is>
      </c>
      <c r="B6" s="5" t="inlineStr">
        <is>
          <t>戦略</t>
        </is>
      </c>
      <c r="C6" s="5" t="inlineStr">
        <is>
          <t>工務店ターゲットリスト50社</t>
        </is>
      </c>
      <c r="D6" s="5" t="inlineStr">
        <is>
          <t>営業先リストが存在しない</t>
        </is>
      </c>
      <c r="E6" s="5" t="inlineStr">
        <is>
          <t>鹿児島・福岡中心に50社リスト作成</t>
        </is>
      </c>
      <c r="F6" s="5" t="inlineStr">
        <is>
          <t>ターゲットリスト</t>
        </is>
      </c>
      <c r="G6" s="5" t="inlineStr">
        <is>
          <t>営業</t>
        </is>
      </c>
      <c r="H6" s="19" t="inlineStr">
        <is>
          <t>中</t>
        </is>
      </c>
      <c r="I6" s="5" t="inlineStr">
        <is>
          <t>04/21</t>
        </is>
      </c>
      <c r="J6" s="5" t="inlineStr">
        <is>
          <t>05/02</t>
        </is>
      </c>
      <c r="K6" s="16" t="inlineStr">
        <is>
          <t>未着手</t>
        </is>
      </c>
      <c r="L6" s="5" t="n">
        <v>0</v>
      </c>
      <c r="M6" s="5" t="inlineStr">
        <is>
          <t>C</t>
        </is>
      </c>
      <c r="N6" s="5" t="n"/>
      <c r="O6" s="5" t="inlineStr">
        <is>
          <t>2026-03-22</t>
        </is>
      </c>
    </row>
    <row r="7">
      <c r="A7" s="5" t="inlineStr">
        <is>
          <t>T-06</t>
        </is>
      </c>
      <c r="B7" s="5" t="inlineStr">
        <is>
          <t>戦略</t>
        </is>
      </c>
      <c r="C7" s="5" t="inlineStr">
        <is>
          <t>エレベーターピッチ作成</t>
        </is>
      </c>
      <c r="D7" s="5" t="inlineStr">
        <is>
          <t>30秒で事業を説明できる言葉がない</t>
        </is>
      </c>
      <c r="E7" s="5" t="inlineStr">
        <is>
          <t>消費者向け/工務店向け2パターン</t>
        </is>
      </c>
      <c r="F7" s="5" t="inlineStr">
        <is>
          <t>ピッチ文書</t>
        </is>
      </c>
      <c r="G7" s="5" t="inlineStr">
        <is>
          <t>経営</t>
        </is>
      </c>
      <c r="H7" s="18" t="inlineStr">
        <is>
          <t>高</t>
        </is>
      </c>
      <c r="I7" s="5" t="inlineStr">
        <is>
          <t>03/24</t>
        </is>
      </c>
      <c r="J7" s="5" t="inlineStr">
        <is>
          <t>03/28</t>
        </is>
      </c>
      <c r="K7" s="9" t="inlineStr">
        <is>
          <t>完了</t>
        </is>
      </c>
      <c r="L7" s="5" t="n">
        <v>1</v>
      </c>
      <c r="M7" s="5" t="inlineStr">
        <is>
          <t>B</t>
        </is>
      </c>
      <c r="N7" s="5" t="n"/>
      <c r="O7" s="5" t="inlineStr">
        <is>
          <t>2026-03-22</t>
        </is>
      </c>
    </row>
    <row r="8">
      <c r="A8" s="5" t="inlineStr">
        <is>
          <t>T-07</t>
        </is>
      </c>
      <c r="B8" s="5" t="inlineStr">
        <is>
          <t>営業</t>
        </is>
      </c>
      <c r="C8" s="5" t="inlineStr">
        <is>
          <t>営業提案書作成</t>
        </is>
      </c>
      <c r="D8" s="5" t="inlineStr">
        <is>
          <t>営業資料がない</t>
        </is>
      </c>
      <c r="E8" s="5" t="inlineStr">
        <is>
          <t>10-15P提案書(事業概要/プラン/料金)</t>
        </is>
      </c>
      <c r="F8" s="5" t="inlineStr">
        <is>
          <t>提案書PDF</t>
        </is>
      </c>
      <c r="G8" s="5" t="inlineStr">
        <is>
          <t>経営</t>
        </is>
      </c>
      <c r="H8" s="18" t="inlineStr">
        <is>
          <t>高</t>
        </is>
      </c>
      <c r="I8" s="5" t="inlineStr">
        <is>
          <t>03/24</t>
        </is>
      </c>
      <c r="J8" s="5" t="inlineStr">
        <is>
          <t>04/04</t>
        </is>
      </c>
      <c r="K8" s="9" t="inlineStr">
        <is>
          <t>完了</t>
        </is>
      </c>
      <c r="L8" s="5" t="n">
        <v>1</v>
      </c>
      <c r="M8" s="5" t="inlineStr">
        <is>
          <t>B</t>
        </is>
      </c>
      <c r="N8" s="5" t="n"/>
      <c r="O8" s="5" t="inlineStr">
        <is>
          <t>2026-03-22</t>
        </is>
      </c>
    </row>
    <row r="9">
      <c r="A9" s="5" t="inlineStr">
        <is>
          <t>T-08</t>
        </is>
      </c>
      <c r="B9" s="5" t="inlineStr">
        <is>
          <t>収益</t>
        </is>
      </c>
      <c r="C9" s="5" t="inlineStr">
        <is>
          <t>料金プラン確定</t>
        </is>
      </c>
      <c r="D9" s="5" t="inlineStr">
        <is>
          <t>料金が仮設定</t>
        </is>
      </c>
      <c r="E9" s="5" t="inlineStr">
        <is>
          <t>3プランの価格・内容を確定</t>
        </is>
      </c>
      <c r="F9" s="5" t="inlineStr">
        <is>
          <t>料金プラン表</t>
        </is>
      </c>
      <c r="G9" s="5" t="inlineStr">
        <is>
          <t>経営</t>
        </is>
      </c>
      <c r="H9" s="18" t="inlineStr">
        <is>
          <t>高</t>
        </is>
      </c>
      <c r="I9" s="5" t="inlineStr">
        <is>
          <t>03/31</t>
        </is>
      </c>
      <c r="J9" s="5" t="inlineStr">
        <is>
          <t>04/07</t>
        </is>
      </c>
      <c r="K9" s="16" t="inlineStr">
        <is>
          <t>未着手</t>
        </is>
      </c>
      <c r="L9" s="5" t="n">
        <v>0</v>
      </c>
      <c r="M9" s="5" t="inlineStr">
        <is>
          <t>D</t>
        </is>
      </c>
      <c r="N9" s="5" t="n"/>
      <c r="O9" s="5" t="inlineStr">
        <is>
          <t>2026-03-22</t>
        </is>
      </c>
    </row>
    <row r="10">
      <c r="A10" s="5" t="inlineStr">
        <is>
          <t>T-09</t>
        </is>
      </c>
      <c r="B10" s="5" t="inlineStr">
        <is>
          <t>計測</t>
        </is>
      </c>
      <c r="C10" s="5" t="inlineStr">
        <is>
          <t>GA4セットアップ</t>
        </is>
      </c>
      <c r="D10" s="5" t="inlineStr">
        <is>
          <t>Webアクセスデータが取れていない</t>
        </is>
      </c>
      <c r="E10" s="5" t="inlineStr">
        <is>
          <t>GA4初期設定→主要イベント計測開始</t>
        </is>
      </c>
      <c r="F10" s="5" t="inlineStr">
        <is>
          <t>GA4稼働</t>
        </is>
      </c>
      <c r="G10" s="5" t="inlineStr">
        <is>
          <t>PM</t>
        </is>
      </c>
      <c r="H10" s="18" t="inlineStr">
        <is>
          <t>高</t>
        </is>
      </c>
      <c r="I10" s="5" t="inlineStr">
        <is>
          <t>03/24</t>
        </is>
      </c>
      <c r="J10" s="5" t="inlineStr">
        <is>
          <t>03/31</t>
        </is>
      </c>
      <c r="K10" s="16" t="inlineStr">
        <is>
          <t>未着手</t>
        </is>
      </c>
      <c r="L10" s="5" t="n">
        <v>0</v>
      </c>
      <c r="M10" s="5" t="inlineStr">
        <is>
          <t>C</t>
        </is>
      </c>
      <c r="N10" s="5" t="n"/>
      <c r="O10" s="5" t="inlineStr">
        <is>
          <t>2026-03-22</t>
        </is>
      </c>
    </row>
    <row r="11">
      <c r="A11" s="5" t="inlineStr">
        <is>
          <t>T-10</t>
        </is>
      </c>
      <c r="B11" s="5" t="inlineStr">
        <is>
          <t>集客</t>
        </is>
      </c>
      <c r="C11" s="5" t="inlineStr">
        <is>
          <t>YouTube概要欄CTA最適化</t>
        </is>
      </c>
      <c r="D11" s="5" t="inlineStr">
        <is>
          <t>YouTube→Web送客導線が未最適化</t>
        </is>
      </c>
      <c r="E11" s="5" t="inlineStr">
        <is>
          <t>全動画概要欄にURL+CTA追加</t>
        </is>
      </c>
      <c r="F11" s="5" t="inlineStr">
        <is>
          <t>概要欄テンプレート</t>
        </is>
      </c>
      <c r="G11" s="5" t="inlineStr">
        <is>
          <t>マーケ</t>
        </is>
      </c>
      <c r="H11" s="18" t="inlineStr">
        <is>
          <t>高</t>
        </is>
      </c>
      <c r="I11" s="5" t="inlineStr">
        <is>
          <t>04/07</t>
        </is>
      </c>
      <c r="J11" s="5" t="inlineStr">
        <is>
          <t>04/14</t>
        </is>
      </c>
      <c r="K11" s="9" t="inlineStr">
        <is>
          <t>完了</t>
        </is>
      </c>
      <c r="L11" s="5" t="n">
        <v>1</v>
      </c>
      <c r="M11" s="5" t="inlineStr">
        <is>
          <t>B</t>
        </is>
      </c>
      <c r="N11" s="5" t="n"/>
      <c r="O11" s="5" t="inlineStr">
        <is>
          <t>2026-03-22</t>
        </is>
      </c>
    </row>
    <row r="12">
      <c r="A12" s="5" t="inlineStr">
        <is>
          <t>T-11</t>
        </is>
      </c>
      <c r="B12" s="5" t="inlineStr">
        <is>
          <t>集客</t>
        </is>
      </c>
      <c r="C12" s="5" t="inlineStr">
        <is>
          <t>SEO記事追加(月3本)</t>
        </is>
      </c>
      <c r="D12" s="5" t="inlineStr">
        <is>
          <t>検索流入が未開拓</t>
        </is>
      </c>
      <c r="E12" s="5" t="inlineStr">
        <is>
          <t>キーワード調査→構成→下書き→公開</t>
        </is>
      </c>
      <c r="F12" s="5" t="inlineStr">
        <is>
          <t>記事3本/月</t>
        </is>
      </c>
      <c r="G12" s="5" t="inlineStr">
        <is>
          <t>コンテンツ</t>
        </is>
      </c>
      <c r="H12" s="19" t="inlineStr">
        <is>
          <t>中</t>
        </is>
      </c>
      <c r="I12" s="5" t="inlineStr">
        <is>
          <t>04/21</t>
        </is>
      </c>
      <c r="J12" s="5" t="inlineStr">
        <is>
          <t>05/15</t>
        </is>
      </c>
      <c r="K12" s="9" t="inlineStr">
        <is>
          <t>未着手</t>
        </is>
      </c>
      <c r="L12" s="5" t="inlineStr">
        <is>
          <t>0%</t>
        </is>
      </c>
      <c r="M12" s="5" t="inlineStr">
        <is>
          <t>B</t>
        </is>
      </c>
      <c r="N12" s="5" t="n"/>
      <c r="O12" s="5" t="inlineStr">
        <is>
          <t>2026-03-22</t>
        </is>
      </c>
    </row>
    <row r="13">
      <c r="A13" s="5" t="inlineStr">
        <is>
          <t>T-12</t>
        </is>
      </c>
      <c r="B13" s="5" t="inlineStr">
        <is>
          <t>集客</t>
        </is>
      </c>
      <c r="C13" s="5" t="inlineStr">
        <is>
          <t>LINE公式運用開始</t>
        </is>
      </c>
      <c r="D13" s="5" t="inlineStr">
        <is>
          <t>LINEでのCRM未稼働</t>
        </is>
      </c>
      <c r="E13" s="5" t="inlineStr">
        <is>
          <t>開設→友だち追加導線→週次配信</t>
        </is>
      </c>
      <c r="F13" s="5" t="inlineStr">
        <is>
          <t>LINE運用計画</t>
        </is>
      </c>
      <c r="G13" s="5" t="inlineStr">
        <is>
          <t>マーケ</t>
        </is>
      </c>
      <c r="H13" s="19" t="inlineStr">
        <is>
          <t>中</t>
        </is>
      </c>
      <c r="I13" s="5" t="inlineStr">
        <is>
          <t>04/21</t>
        </is>
      </c>
      <c r="J13" s="5" t="inlineStr">
        <is>
          <t>05/02</t>
        </is>
      </c>
      <c r="K13" s="16" t="inlineStr">
        <is>
          <t>未着手</t>
        </is>
      </c>
      <c r="L13" s="5" t="n">
        <v>0</v>
      </c>
      <c r="M13" s="5" t="inlineStr">
        <is>
          <t>C</t>
        </is>
      </c>
      <c r="N13" s="5" t="n"/>
      <c r="O13" s="5" t="inlineStr">
        <is>
          <t>2026-03-22</t>
        </is>
      </c>
    </row>
    <row r="14">
      <c r="A14" s="5" t="inlineStr">
        <is>
          <t>T-13</t>
        </is>
      </c>
      <c r="B14" s="5" t="inlineStr">
        <is>
          <t>CV</t>
        </is>
      </c>
      <c r="C14" s="5" t="inlineStr">
        <is>
          <t>CV率計測・分析開始</t>
        </is>
      </c>
      <c r="D14" s="5" t="inlineStr">
        <is>
          <t>CV率が不明</t>
        </is>
      </c>
      <c r="E14" s="5" t="inlineStr">
        <is>
          <t>各フォームCV率+チャット転換率を計測</t>
        </is>
      </c>
      <c r="F14" s="5" t="inlineStr">
        <is>
          <t>CV率レポート</t>
        </is>
      </c>
      <c r="G14" s="5" t="inlineStr">
        <is>
          <t>PM</t>
        </is>
      </c>
      <c r="H14" s="18" t="inlineStr">
        <is>
          <t>高</t>
        </is>
      </c>
      <c r="I14" s="5" t="inlineStr">
        <is>
          <t>04/14</t>
        </is>
      </c>
      <c r="J14" s="5" t="inlineStr">
        <is>
          <t>04/21</t>
        </is>
      </c>
      <c r="K14" s="16" t="inlineStr">
        <is>
          <t>未着手</t>
        </is>
      </c>
      <c r="L14" s="5" t="n">
        <v>0</v>
      </c>
      <c r="M14" s="5" t="inlineStr">
        <is>
          <t>B</t>
        </is>
      </c>
      <c r="N14" s="5" t="n"/>
      <c r="O14" s="5" t="inlineStr">
        <is>
          <t>2026-03-22</t>
        </is>
      </c>
    </row>
    <row r="15">
      <c r="A15" s="5" t="inlineStr">
        <is>
          <t>T-14</t>
        </is>
      </c>
      <c r="B15" s="5" t="inlineStr">
        <is>
          <t>CV</t>
        </is>
      </c>
      <c r="C15" s="5" t="inlineStr">
        <is>
          <t>フォーム離脱率分析</t>
        </is>
      </c>
      <c r="D15" s="5" t="inlineStr">
        <is>
          <t>離脱ポイント不明</t>
        </is>
      </c>
      <c r="E15" s="5" t="inlineStr">
        <is>
          <t>GA4でフォーム到達→送信の離脱率計測</t>
        </is>
      </c>
      <c r="F15" s="5" t="inlineStr">
        <is>
          <t>離脱分析レポート</t>
        </is>
      </c>
      <c r="G15" s="5" t="inlineStr">
        <is>
          <t>PM</t>
        </is>
      </c>
      <c r="H15" s="19" t="inlineStr">
        <is>
          <t>中</t>
        </is>
      </c>
      <c r="I15" s="5" t="inlineStr">
        <is>
          <t>05/18</t>
        </is>
      </c>
      <c r="J15" s="5" t="inlineStr">
        <is>
          <t>06/01</t>
        </is>
      </c>
      <c r="K15" s="16" t="inlineStr">
        <is>
          <t>未着手</t>
        </is>
      </c>
      <c r="L15" s="5" t="n">
        <v>0</v>
      </c>
      <c r="M15" s="5" t="inlineStr">
        <is>
          <t>C</t>
        </is>
      </c>
      <c r="N15" s="5" t="n"/>
      <c r="O15" s="5" t="inlineStr">
        <is>
          <t>2026-03-22</t>
        </is>
      </c>
    </row>
    <row r="16">
      <c r="A16" s="5" t="inlineStr">
        <is>
          <t>T-15</t>
        </is>
      </c>
      <c r="B16" s="5" t="inlineStr">
        <is>
          <t>データ</t>
        </is>
      </c>
      <c r="C16" s="5" t="inlineStr">
        <is>
          <t>データ活用ロードマップ</t>
        </is>
      </c>
      <c r="D16" s="5" t="inlineStr">
        <is>
          <t>データ活用方針が未確定</t>
        </is>
      </c>
      <c r="E16" s="5" t="inlineStr">
        <is>
          <t>四半期ごとの活用計画定義</t>
        </is>
      </c>
      <c r="F16" s="5" t="inlineStr">
        <is>
          <t>ロードマップ文書</t>
        </is>
      </c>
      <c r="G16" s="5" t="inlineStr">
        <is>
          <t>PM</t>
        </is>
      </c>
      <c r="H16" s="19" t="inlineStr">
        <is>
          <t>中</t>
        </is>
      </c>
      <c r="I16" s="5" t="inlineStr">
        <is>
          <t>05/25</t>
        </is>
      </c>
      <c r="J16" s="5" t="inlineStr">
        <is>
          <t>06/08</t>
        </is>
      </c>
      <c r="K16" s="9" t="inlineStr">
        <is>
          <t>完了</t>
        </is>
      </c>
      <c r="L16" s="5" t="n">
        <v>1</v>
      </c>
      <c r="M16" s="5" t="inlineStr">
        <is>
          <t>B</t>
        </is>
      </c>
      <c r="N16" s="5" t="n"/>
      <c r="O16" s="5" t="inlineStr">
        <is>
          <t>2026-03-22</t>
        </is>
      </c>
    </row>
    <row r="17">
      <c r="A17" s="5" t="inlineStr">
        <is>
          <t>T-16</t>
        </is>
      </c>
      <c r="B17" s="5" t="inlineStr">
        <is>
          <t>データ</t>
        </is>
      </c>
      <c r="C17" s="5" t="inlineStr">
        <is>
          <t>月次データレポート作成</t>
        </is>
      </c>
      <c r="D17" s="5" t="inlineStr">
        <is>
          <t>分析レポートの仕組みなし</t>
        </is>
      </c>
      <c r="E17" s="5" t="inlineStr">
        <is>
          <t>行動/チャット/CV/リード品質の雛形</t>
        </is>
      </c>
      <c r="F17" s="5" t="inlineStr">
        <is>
          <t>レポートテンプレート</t>
        </is>
      </c>
      <c r="G17" s="5" t="inlineStr">
        <is>
          <t>PM</t>
        </is>
      </c>
      <c r="H17" s="19" t="inlineStr">
        <is>
          <t>中</t>
        </is>
      </c>
      <c r="I17" s="5" t="inlineStr">
        <is>
          <t>06/01</t>
        </is>
      </c>
      <c r="J17" s="5" t="inlineStr">
        <is>
          <t>06/15</t>
        </is>
      </c>
      <c r="K17" s="9" t="inlineStr">
        <is>
          <t>完了</t>
        </is>
      </c>
      <c r="L17" s="5" t="n">
        <v>1</v>
      </c>
      <c r="M17" s="5" t="inlineStr">
        <is>
          <t>A</t>
        </is>
      </c>
      <c r="N17" s="5" t="n"/>
      <c r="O17" s="5" t="inlineStr">
        <is>
          <t>2026-03-22</t>
        </is>
      </c>
    </row>
    <row r="18">
      <c r="A18" s="5" t="inlineStr">
        <is>
          <t>T-17</t>
        </is>
      </c>
      <c r="B18" s="5" t="inlineStr">
        <is>
          <t>営業</t>
        </is>
      </c>
      <c r="C18" s="5" t="inlineStr">
        <is>
          <t>営業提案フロー設計</t>
        </is>
      </c>
      <c r="D18" s="5" t="inlineStr">
        <is>
          <t>提案→契約フロー未設計</t>
        </is>
      </c>
      <c r="E18" s="5" t="inlineStr">
        <is>
          <t>初回接触→提案→トライアル→契約</t>
        </is>
      </c>
      <c r="F18" s="5" t="inlineStr">
        <is>
          <t>営業フロー図</t>
        </is>
      </c>
      <c r="G18" s="5" t="inlineStr">
        <is>
          <t>経営</t>
        </is>
      </c>
      <c r="H18" s="18" t="inlineStr">
        <is>
          <t>高</t>
        </is>
      </c>
      <c r="I18" s="5" t="inlineStr">
        <is>
          <t>03/31</t>
        </is>
      </c>
      <c r="J18" s="5" t="inlineStr">
        <is>
          <t>04/07</t>
        </is>
      </c>
      <c r="K18" s="9" t="inlineStr">
        <is>
          <t>完了</t>
        </is>
      </c>
      <c r="L18" s="5" t="n">
        <v>1</v>
      </c>
      <c r="M18" s="5" t="inlineStr">
        <is>
          <t>B</t>
        </is>
      </c>
      <c r="N18" s="5" t="n"/>
      <c r="O18" s="5" t="inlineStr">
        <is>
          <t>2026-03-22</t>
        </is>
      </c>
    </row>
    <row r="19">
      <c r="A19" s="5" t="inlineStr">
        <is>
          <t>T-18</t>
        </is>
      </c>
      <c r="B19" s="5" t="inlineStr">
        <is>
          <t>営業</t>
        </is>
      </c>
      <c r="C19" s="5" t="inlineStr">
        <is>
          <t>契約書テンプレート作成</t>
        </is>
      </c>
      <c r="D19" s="5" t="inlineStr">
        <is>
          <t>契約書がない</t>
        </is>
      </c>
      <c r="E19" s="5" t="inlineStr">
        <is>
          <t>掲載契約/反響課金契約テンプレート</t>
        </is>
      </c>
      <c r="F19" s="5" t="inlineStr">
        <is>
          <t>契約書テンプレート</t>
        </is>
      </c>
      <c r="G19" s="5" t="inlineStr">
        <is>
          <t>経営</t>
        </is>
      </c>
      <c r="H19" s="18" t="inlineStr">
        <is>
          <t>高</t>
        </is>
      </c>
      <c r="I19" s="5" t="inlineStr">
        <is>
          <t>04/07</t>
        </is>
      </c>
      <c r="J19" s="5" t="inlineStr">
        <is>
          <t>04/14</t>
        </is>
      </c>
      <c r="K19" s="9" t="inlineStr">
        <is>
          <t>完了</t>
        </is>
      </c>
      <c r="L19" s="5" t="n">
        <v>1</v>
      </c>
      <c r="M19" s="5" t="inlineStr">
        <is>
          <t>B</t>
        </is>
      </c>
      <c r="N19" s="5" t="n"/>
      <c r="O19" s="5" t="inlineStr">
        <is>
          <t>2026-03-22</t>
        </is>
      </c>
    </row>
    <row r="20">
      <c r="A20" s="5" t="inlineStr">
        <is>
          <t>T-19</t>
        </is>
      </c>
      <c r="B20" s="5" t="inlineStr">
        <is>
          <t>営業</t>
        </is>
      </c>
      <c r="C20" s="5" t="inlineStr">
        <is>
          <t>既存取材先へのパートナー提案</t>
        </is>
      </c>
      <c r="D20" s="5" t="inlineStr">
        <is>
          <t>取材関係のみで有料化していない</t>
        </is>
      </c>
      <c r="E20" s="5" t="inlineStr">
        <is>
          <t>取材実績工務店にプラン提案</t>
        </is>
      </c>
      <c r="F20" s="5" t="inlineStr">
        <is>
          <t>提案記録</t>
        </is>
      </c>
      <c r="G20" s="5" t="inlineStr">
        <is>
          <t>経営</t>
        </is>
      </c>
      <c r="H20" s="18" t="inlineStr">
        <is>
          <t>高</t>
        </is>
      </c>
      <c r="I20" s="5" t="inlineStr">
        <is>
          <t>04/07</t>
        </is>
      </c>
      <c r="J20" s="5" t="inlineStr">
        <is>
          <t>04/18</t>
        </is>
      </c>
      <c r="K20" s="16" t="inlineStr">
        <is>
          <t>未着手</t>
        </is>
      </c>
      <c r="L20" s="5" t="n">
        <v>0</v>
      </c>
      <c r="M20" s="5" t="inlineStr">
        <is>
          <t>D</t>
        </is>
      </c>
      <c r="N20" s="5" t="n"/>
      <c r="O20" s="5" t="inlineStr">
        <is>
          <t>2026-03-22</t>
        </is>
      </c>
    </row>
    <row r="21">
      <c r="A21" s="5" t="inlineStr">
        <is>
          <t>T-20</t>
        </is>
      </c>
      <c r="B21" s="5" t="inlineStr">
        <is>
          <t>営業</t>
        </is>
      </c>
      <c r="C21" s="5" t="inlineStr">
        <is>
          <t>新規工務店アプローチ(月5社)</t>
        </is>
      </c>
      <c r="D21" s="5" t="inlineStr">
        <is>
          <t>新規営業先がない</t>
        </is>
      </c>
      <c r="E21" s="5" t="inlineStr">
        <is>
          <t>リスト→月5社アプローチ</t>
        </is>
      </c>
      <c r="F21" s="5" t="inlineStr">
        <is>
          <t>営業活動記録</t>
        </is>
      </c>
      <c r="G21" s="5" t="inlineStr">
        <is>
          <t>営業</t>
        </is>
      </c>
      <c r="H21" s="19" t="inlineStr">
        <is>
          <t>中</t>
        </is>
      </c>
      <c r="I21" s="5" t="inlineStr">
        <is>
          <t>04/28</t>
        </is>
      </c>
      <c r="J21" s="5" t="inlineStr">
        <is>
          <t>05/22</t>
        </is>
      </c>
      <c r="K21" s="16" t="inlineStr">
        <is>
          <t>未着手</t>
        </is>
      </c>
      <c r="L21" s="5" t="n">
        <v>0</v>
      </c>
      <c r="M21" s="5" t="inlineStr">
        <is>
          <t>D</t>
        </is>
      </c>
      <c r="N21" s="5" t="n"/>
      <c r="O21" s="5" t="inlineStr">
        <is>
          <t>2026-03-22</t>
        </is>
      </c>
    </row>
    <row r="22">
      <c r="A22" s="5" t="inlineStr">
        <is>
          <t>T-21</t>
        </is>
      </c>
      <c r="B22" s="5" t="inlineStr">
        <is>
          <t>品質</t>
        </is>
      </c>
      <c r="C22" s="5" t="inlineStr">
        <is>
          <t>取材記事の実名化</t>
        </is>
      </c>
      <c r="D22" s="5" t="inlineStr">
        <is>
          <t>社名が仮名(○○工務店)</t>
        </is>
      </c>
      <c r="E22" s="5" t="inlineStr">
        <is>
          <t>掲載許可交渉→実名差し替え</t>
        </is>
      </c>
      <c r="F22" s="5" t="inlineStr">
        <is>
          <t>実名化済み記事</t>
        </is>
      </c>
      <c r="G22" s="5" t="inlineStr">
        <is>
          <t>コンテンツ</t>
        </is>
      </c>
      <c r="H22" s="18" t="inlineStr">
        <is>
          <t>高</t>
        </is>
      </c>
      <c r="I22" s="5" t="inlineStr">
        <is>
          <t>04/07</t>
        </is>
      </c>
      <c r="J22" s="5" t="inlineStr">
        <is>
          <t>04/18</t>
        </is>
      </c>
      <c r="K22" s="16" t="inlineStr">
        <is>
          <t>未着手</t>
        </is>
      </c>
      <c r="L22" s="5" t="n">
        <v>0</v>
      </c>
      <c r="M22" s="5" t="inlineStr">
        <is>
          <t>D</t>
        </is>
      </c>
      <c r="N22" s="5" t="n"/>
      <c r="O22" s="5" t="inlineStr">
        <is>
          <t>2026-03-22</t>
        </is>
      </c>
    </row>
    <row r="23">
      <c r="A23" s="5" t="inlineStr">
        <is>
          <t>T-22</t>
        </is>
      </c>
      <c r="B23" s="5" t="inlineStr">
        <is>
          <t>コンテンツ</t>
        </is>
      </c>
      <c r="C23" s="5" t="inlineStr">
        <is>
          <t>月次コンテンツカレンダー</t>
        </is>
      </c>
      <c r="D23" s="5" t="inlineStr">
        <is>
          <t>制作計画がない</t>
        </is>
      </c>
      <c r="E23" s="5" t="inlineStr">
        <is>
          <t>月次で記事3+動画4+ニュース2の計画</t>
        </is>
      </c>
      <c r="F23" s="5" t="inlineStr">
        <is>
          <t>カレンダー</t>
        </is>
      </c>
      <c r="G23" s="5" t="inlineStr">
        <is>
          <t>コンテンツ</t>
        </is>
      </c>
      <c r="H23" s="19" t="inlineStr">
        <is>
          <t>中</t>
        </is>
      </c>
      <c r="I23" s="5" t="inlineStr">
        <is>
          <t>04/21</t>
        </is>
      </c>
      <c r="J23" s="5" t="inlineStr">
        <is>
          <t>04/28</t>
        </is>
      </c>
      <c r="K23" s="9" t="inlineStr">
        <is>
          <t>完了</t>
        </is>
      </c>
      <c r="L23" s="5" t="n">
        <v>1</v>
      </c>
      <c r="M23" s="5" t="inlineStr">
        <is>
          <t>B</t>
        </is>
      </c>
      <c r="N23" s="5" t="n"/>
      <c r="O23" s="5" t="inlineStr">
        <is>
          <t>2026-03-22</t>
        </is>
      </c>
    </row>
    <row r="24">
      <c r="A24" s="5" t="inlineStr">
        <is>
          <t>T-23</t>
        </is>
      </c>
      <c r="B24" s="5" t="inlineStr">
        <is>
          <t>コンテンツ</t>
        </is>
      </c>
      <c r="C24" s="5" t="inlineStr">
        <is>
          <t>比較コンテンツ制作</t>
        </is>
      </c>
      <c r="D24" s="5" t="inlineStr">
        <is>
          <t>比較記事がない</t>
        </is>
      </c>
      <c r="E24" s="5" t="inlineStr">
        <is>
          <t>工務店比較/性能比較記事3本制作</t>
        </is>
      </c>
      <c r="F24" s="5" t="inlineStr">
        <is>
          <t>比較記事3本</t>
        </is>
      </c>
      <c r="G24" s="5" t="inlineStr">
        <is>
          <t>コンテンツ</t>
        </is>
      </c>
      <c r="H24" s="19" t="inlineStr">
        <is>
          <t>中</t>
        </is>
      </c>
      <c r="I24" s="5" t="inlineStr">
        <is>
          <t>05/18</t>
        </is>
      </c>
      <c r="J24" s="5" t="inlineStr">
        <is>
          <t>06/15</t>
        </is>
      </c>
      <c r="K24" s="9" t="inlineStr">
        <is>
          <t>完了</t>
        </is>
      </c>
      <c r="L24" s="5" t="n">
        <v>1</v>
      </c>
      <c r="M24" s="5" t="inlineStr">
        <is>
          <t>B</t>
        </is>
      </c>
      <c r="N24" s="5" t="n"/>
      <c r="O24" s="5" t="inlineStr">
        <is>
          <t>2026-03-22</t>
        </is>
      </c>
    </row>
    <row r="25">
      <c r="A25" s="5" t="inlineStr">
        <is>
          <t>T-24</t>
        </is>
      </c>
      <c r="B25" s="5" t="inlineStr">
        <is>
          <t>コンテンツ</t>
        </is>
      </c>
      <c r="C25" s="5" t="inlineStr">
        <is>
          <t>AIチャット用FAQ整理</t>
        </is>
      </c>
      <c r="D25" s="5" t="inlineStr">
        <is>
          <t>AI回答精度の知識ベース未整理</t>
        </is>
      </c>
      <c r="E25" s="5" t="inlineStr">
        <is>
          <t>FAQ50問+工務店ナレッジ整理</t>
        </is>
      </c>
      <c r="F25" s="5" t="inlineStr">
        <is>
          <t>FAQ一覧</t>
        </is>
      </c>
      <c r="G25" s="5" t="inlineStr">
        <is>
          <t>コンテンツ</t>
        </is>
      </c>
      <c r="H25" s="19" t="inlineStr">
        <is>
          <t>中</t>
        </is>
      </c>
      <c r="I25" s="5" t="inlineStr">
        <is>
          <t>05/25</t>
        </is>
      </c>
      <c r="J25" s="5" t="inlineStr">
        <is>
          <t>06/08</t>
        </is>
      </c>
      <c r="K25" s="9" t="inlineStr">
        <is>
          <t>未着手</t>
        </is>
      </c>
      <c r="L25" s="5" t="inlineStr">
        <is>
          <t>0%</t>
        </is>
      </c>
      <c r="M25" s="5" t="inlineStr">
        <is>
          <t>A</t>
        </is>
      </c>
      <c r="N25" s="5" t="n"/>
      <c r="O25" s="5" t="inlineStr">
        <is>
          <t>2026-03-22</t>
        </is>
      </c>
    </row>
    <row r="26">
      <c r="A26" s="5" t="inlineStr">
        <is>
          <t>T-25</t>
        </is>
      </c>
      <c r="B26" s="5" t="inlineStr">
        <is>
          <t>品質</t>
        </is>
      </c>
      <c r="C26" s="5" t="inlineStr">
        <is>
          <t>掲載基準・フォーマット策定</t>
        </is>
      </c>
      <c r="D26" s="5" t="inlineStr">
        <is>
          <t>掲載基準がない</t>
        </is>
      </c>
      <c r="E26" s="5" t="inlineStr">
        <is>
          <t>必須/推奨項目・表現ルール策定</t>
        </is>
      </c>
      <c r="F26" s="5" t="inlineStr">
        <is>
          <t>掲載基準書</t>
        </is>
      </c>
      <c r="G26" s="5" t="inlineStr">
        <is>
          <t>コンテンツ</t>
        </is>
      </c>
      <c r="H26" s="18" t="inlineStr">
        <is>
          <t>高</t>
        </is>
      </c>
      <c r="I26" s="5" t="inlineStr">
        <is>
          <t>03/24</t>
        </is>
      </c>
      <c r="J26" s="5" t="inlineStr">
        <is>
          <t>03/31</t>
        </is>
      </c>
      <c r="K26" s="9" t="inlineStr">
        <is>
          <t>完了</t>
        </is>
      </c>
      <c r="L26" s="5" t="n">
        <v>1</v>
      </c>
      <c r="M26" s="5" t="inlineStr">
        <is>
          <t>B</t>
        </is>
      </c>
      <c r="N26" s="5" t="n"/>
      <c r="O26" s="5" t="inlineStr">
        <is>
          <t>2026-03-22</t>
        </is>
      </c>
    </row>
    <row r="27">
      <c r="A27" s="5" t="inlineStr">
        <is>
          <t>T-26</t>
        </is>
      </c>
      <c r="B27" s="5" t="inlineStr">
        <is>
          <t>品質</t>
        </is>
      </c>
      <c r="C27" s="5" t="inlineStr">
        <is>
          <t>全ページ文言監査</t>
        </is>
      </c>
      <c r="D27" s="5" t="inlineStr">
        <is>
          <t>品質・一貫性が未確認</t>
        </is>
      </c>
      <c r="E27" s="5" t="inlineStr">
        <is>
          <t>全ページ巡回→問題リスト化</t>
        </is>
      </c>
      <c r="F27" s="5" t="inlineStr">
        <is>
          <t>監査シート</t>
        </is>
      </c>
      <c r="G27" s="5" t="inlineStr">
        <is>
          <t>コンテンツ</t>
        </is>
      </c>
      <c r="H27" s="18" t="inlineStr">
        <is>
          <t>高</t>
        </is>
      </c>
      <c r="I27" s="5" t="inlineStr">
        <is>
          <t>03/24</t>
        </is>
      </c>
      <c r="J27" s="5" t="inlineStr">
        <is>
          <t>04/07</t>
        </is>
      </c>
      <c r="K27" s="9" t="inlineStr">
        <is>
          <t>確認中</t>
        </is>
      </c>
      <c r="L27" s="5" t="inlineStr">
        <is>
          <t>40%</t>
        </is>
      </c>
      <c r="M27" s="5" t="inlineStr">
        <is>
          <t>B</t>
        </is>
      </c>
      <c r="N27" s="5" t="n"/>
      <c r="O27" s="5" t="inlineStr">
        <is>
          <t>2026-03-22</t>
        </is>
      </c>
    </row>
    <row r="28">
      <c r="A28" s="5" t="inlineStr">
        <is>
          <t>T-27</t>
        </is>
      </c>
      <c r="B28" s="5" t="inlineStr">
        <is>
          <t>品質</t>
        </is>
      </c>
      <c r="C28" s="5" t="inlineStr">
        <is>
          <t>再ヒアリング項目整理</t>
        </is>
      </c>
      <c r="D28" s="5" t="inlineStr">
        <is>
          <t>不足情報の整理</t>
        </is>
      </c>
      <c r="E28" s="5" t="inlineStr">
        <is>
          <t>質問シート作成</t>
        </is>
      </c>
      <c r="F28" s="5" t="inlineStr">
        <is>
          <t>質問シート</t>
        </is>
      </c>
      <c r="G28" s="5" t="inlineStr">
        <is>
          <t>コンテンツ</t>
        </is>
      </c>
      <c r="H28" s="18" t="inlineStr">
        <is>
          <t>高</t>
        </is>
      </c>
      <c r="I28" s="5" t="inlineStr">
        <is>
          <t>03/31</t>
        </is>
      </c>
      <c r="J28" s="5" t="inlineStr">
        <is>
          <t>04/07</t>
        </is>
      </c>
      <c r="K28" s="9" t="inlineStr">
        <is>
          <t>確認中</t>
        </is>
      </c>
      <c r="L28" s="5" t="inlineStr">
        <is>
          <t>40%</t>
        </is>
      </c>
      <c r="M28" s="5" t="inlineStr">
        <is>
          <t>B</t>
        </is>
      </c>
      <c r="N28" s="5" t="n"/>
      <c r="O28" s="5" t="inlineStr">
        <is>
          <t>2026-03-22</t>
        </is>
      </c>
    </row>
    <row r="29">
      <c r="A29" s="5" t="inlineStr">
        <is>
          <t>T-28</t>
        </is>
      </c>
      <c r="B29" s="5" t="inlineStr">
        <is>
          <t>品質</t>
        </is>
      </c>
      <c r="C29" s="5" t="inlineStr">
        <is>
          <t>工務店再ヒアリング実施</t>
        </is>
      </c>
      <c r="D29" s="5" t="inlineStr">
        <is>
          <t>実データ化のため</t>
        </is>
      </c>
      <c r="E29" s="5" t="inlineStr">
        <is>
          <t>パートナー候補にヒアリング</t>
        </is>
      </c>
      <c r="F29" s="5" t="inlineStr">
        <is>
          <t>記録</t>
        </is>
      </c>
      <c r="G29" s="5" t="inlineStr">
        <is>
          <t>営業</t>
        </is>
      </c>
      <c r="H29" s="18" t="inlineStr">
        <is>
          <t>高</t>
        </is>
      </c>
      <c r="I29" s="5" t="inlineStr">
        <is>
          <t>04/07</t>
        </is>
      </c>
      <c r="J29" s="5" t="inlineStr">
        <is>
          <t>04/21</t>
        </is>
      </c>
      <c r="K29" s="16" t="inlineStr">
        <is>
          <t>未着手</t>
        </is>
      </c>
      <c r="L29" s="5" t="n">
        <v>0</v>
      </c>
      <c r="M29" s="5" t="inlineStr">
        <is>
          <t>D</t>
        </is>
      </c>
      <c r="N29" s="5" t="n"/>
      <c r="O29" s="5" t="inlineStr">
        <is>
          <t>2026-03-22</t>
        </is>
      </c>
    </row>
    <row r="30">
      <c r="A30" s="5" t="inlineStr">
        <is>
          <t>T-29</t>
        </is>
      </c>
      <c r="B30" s="5" t="inlineStr">
        <is>
          <t>品質</t>
        </is>
      </c>
      <c r="C30" s="5" t="inlineStr">
        <is>
          <t>リライト実施(優先5件)</t>
        </is>
      </c>
      <c r="D30" s="5" t="inlineStr">
        <is>
          <t>品質改善</t>
        </is>
      </c>
      <c r="E30" s="5" t="inlineStr">
        <is>
          <t>監査結果→リライト→公開</t>
        </is>
      </c>
      <c r="F30" s="5" t="inlineStr">
        <is>
          <t>リライト完了</t>
        </is>
      </c>
      <c r="G30" s="5" t="inlineStr">
        <is>
          <t>コンテンツ</t>
        </is>
      </c>
      <c r="H30" s="19" t="inlineStr">
        <is>
          <t>中</t>
        </is>
      </c>
      <c r="I30" s="5" t="inlineStr">
        <is>
          <t>04/14</t>
        </is>
      </c>
      <c r="J30" s="5" t="inlineStr">
        <is>
          <t>04/25</t>
        </is>
      </c>
      <c r="K30" s="16" t="inlineStr">
        <is>
          <t>未着手</t>
        </is>
      </c>
      <c r="L30" s="5" t="n">
        <v>0</v>
      </c>
      <c r="M30" s="5" t="inlineStr">
        <is>
          <t>B</t>
        </is>
      </c>
      <c r="N30" s="5" t="n"/>
      <c r="O30" s="5" t="inlineStr">
        <is>
          <t>2026-03-22</t>
        </is>
      </c>
    </row>
    <row r="31">
      <c r="A31" s="5" t="inlineStr">
        <is>
          <t>T-30</t>
        </is>
      </c>
      <c r="B31" s="5" t="inlineStr">
        <is>
          <t>品質</t>
        </is>
      </c>
      <c r="C31" s="5" t="inlineStr">
        <is>
          <t>SEOメタデータ一括入力</t>
        </is>
      </c>
      <c r="D31" s="5" t="inlineStr">
        <is>
          <t>メタデータ大部分未入力</t>
        </is>
      </c>
      <c r="E31" s="5" t="inlineStr">
        <is>
          <t>AI一括生成(80件)→レビュー</t>
        </is>
      </c>
      <c r="F31" s="5" t="inlineStr">
        <is>
          <t>入力完了</t>
        </is>
      </c>
      <c r="G31" s="5" t="inlineStr">
        <is>
          <t>コンテンツ</t>
        </is>
      </c>
      <c r="H31" s="19" t="inlineStr">
        <is>
          <t>中</t>
        </is>
      </c>
      <c r="I31" s="5" t="inlineStr">
        <is>
          <t>04/21</t>
        </is>
      </c>
      <c r="J31" s="5" t="inlineStr">
        <is>
          <t>05/02</t>
        </is>
      </c>
      <c r="K31" s="9" t="inlineStr">
        <is>
          <t>完了</t>
        </is>
      </c>
      <c r="L31" s="5" t="n">
        <v>1</v>
      </c>
      <c r="M31" s="5" t="inlineStr">
        <is>
          <t>A</t>
        </is>
      </c>
      <c r="N31" s="5" t="n"/>
      <c r="O31" s="5" t="inlineStr">
        <is>
          <t>2026-03-22</t>
        </is>
      </c>
    </row>
    <row r="32">
      <c r="A32" s="5" t="inlineStr">
        <is>
          <t>T-31</t>
        </is>
      </c>
      <c r="B32" s="5" t="inlineStr">
        <is>
          <t>品質</t>
        </is>
      </c>
      <c r="C32" s="5" t="inlineStr">
        <is>
          <t>マガジン表紙画像制作</t>
        </is>
      </c>
      <c r="D32" s="5" t="inlineStr">
        <is>
          <t>表紙画像が全号欠如</t>
        </is>
      </c>
      <c r="E32" s="5" t="inlineStr">
        <is>
          <t>デザイン制作(8点)</t>
        </is>
      </c>
      <c r="F32" s="5" t="inlineStr">
        <is>
          <t>表紙画像8点</t>
        </is>
      </c>
      <c r="G32" s="5" t="inlineStr">
        <is>
          <t>コンテンツ</t>
        </is>
      </c>
      <c r="H32" s="19" t="inlineStr">
        <is>
          <t>中</t>
        </is>
      </c>
      <c r="I32" s="5" t="inlineStr">
        <is>
          <t>04/28</t>
        </is>
      </c>
      <c r="J32" s="5" t="inlineStr">
        <is>
          <t>05/15</t>
        </is>
      </c>
      <c r="K32" s="16" t="inlineStr">
        <is>
          <t>未着手</t>
        </is>
      </c>
      <c r="L32" s="5" t="n">
        <v>0</v>
      </c>
      <c r="M32" s="5" t="inlineStr">
        <is>
          <t>C</t>
        </is>
      </c>
      <c r="N32" s="5" t="n"/>
      <c r="O32" s="5" t="inlineStr">
        <is>
          <t>2026-03-22</t>
        </is>
      </c>
    </row>
    <row r="33">
      <c r="A33" s="5" t="inlineStr">
        <is>
          <t>T-32</t>
        </is>
      </c>
      <c r="B33" s="5" t="inlineStr">
        <is>
          <t>オペ</t>
        </is>
      </c>
      <c r="C33" s="5" t="inlineStr">
        <is>
          <t>問い合わせ対応フロー設計</t>
        </is>
      </c>
      <c r="D33" s="5" t="inlineStr">
        <is>
          <t>対応フローがない</t>
        </is>
      </c>
      <c r="E33" s="5" t="inlineStr">
        <is>
          <t>受信→対応→紹介→フォロー設計</t>
        </is>
      </c>
      <c r="F33" s="5" t="inlineStr">
        <is>
          <t>フロー図+マニュアル</t>
        </is>
      </c>
      <c r="G33" s="5" t="inlineStr">
        <is>
          <t>経営</t>
        </is>
      </c>
      <c r="H33" s="18" t="inlineStr">
        <is>
          <t>高</t>
        </is>
      </c>
      <c r="I33" s="5" t="inlineStr">
        <is>
          <t>03/24</t>
        </is>
      </c>
      <c r="J33" s="5" t="inlineStr">
        <is>
          <t>04/04</t>
        </is>
      </c>
      <c r="K33" s="9" t="inlineStr">
        <is>
          <t>完了</t>
        </is>
      </c>
      <c r="L33" s="5" t="n">
        <v>1</v>
      </c>
      <c r="M33" s="5" t="inlineStr">
        <is>
          <t>B</t>
        </is>
      </c>
      <c r="N33" s="5" t="n"/>
      <c r="O33" s="5" t="inlineStr">
        <is>
          <t>2026-03-22</t>
        </is>
      </c>
    </row>
    <row r="34">
      <c r="A34" s="5" t="inlineStr">
        <is>
          <t>T-33</t>
        </is>
      </c>
      <c r="B34" s="5" t="inlineStr">
        <is>
          <t>オペ</t>
        </is>
      </c>
      <c r="C34" s="5" t="inlineStr">
        <is>
          <t>反響受け渡しフロー設計</t>
        </is>
      </c>
      <c r="D34" s="5" t="inlineStr">
        <is>
          <t>リード共有の仕組みなし</t>
        </is>
      </c>
      <c r="E34" s="5" t="inlineStr">
        <is>
          <t>共有方法・タイミング・フォーマット設計</t>
        </is>
      </c>
      <c r="F34" s="5" t="inlineStr">
        <is>
          <t>フロー図</t>
        </is>
      </c>
      <c r="G34" s="5" t="inlineStr">
        <is>
          <t>経営</t>
        </is>
      </c>
      <c r="H34" s="18" t="inlineStr">
        <is>
          <t>高</t>
        </is>
      </c>
      <c r="I34" s="5" t="inlineStr">
        <is>
          <t>04/14</t>
        </is>
      </c>
      <c r="J34" s="5" t="inlineStr">
        <is>
          <t>04/21</t>
        </is>
      </c>
      <c r="K34" s="9" t="inlineStr">
        <is>
          <t>完了</t>
        </is>
      </c>
      <c r="L34" s="5" t="n">
        <v>1</v>
      </c>
      <c r="M34" s="5" t="inlineStr">
        <is>
          <t>B</t>
        </is>
      </c>
      <c r="N34" s="5" t="n"/>
      <c r="O34" s="5" t="inlineStr">
        <is>
          <t>2026-03-22</t>
        </is>
      </c>
    </row>
    <row r="35">
      <c r="A35" s="5" t="inlineStr">
        <is>
          <t>T-34</t>
        </is>
      </c>
      <c r="B35" s="5" t="inlineStr">
        <is>
          <t>オペ</t>
        </is>
      </c>
      <c r="C35" s="5" t="inlineStr">
        <is>
          <t>SLA設定</t>
        </is>
      </c>
      <c r="D35" s="5" t="inlineStr">
        <is>
          <t>対応スピード基準なし</t>
        </is>
      </c>
      <c r="E35" s="5" t="inlineStr">
        <is>
          <t>初期対応時間・紹介までの日数定義</t>
        </is>
      </c>
      <c r="F35" s="5" t="inlineStr">
        <is>
          <t>SLA定義書</t>
        </is>
      </c>
      <c r="G35" s="5" t="inlineStr">
        <is>
          <t>経営</t>
        </is>
      </c>
      <c r="H35" s="19" t="inlineStr">
        <is>
          <t>中</t>
        </is>
      </c>
      <c r="I35" s="5" t="inlineStr">
        <is>
          <t>06/01</t>
        </is>
      </c>
      <c r="J35" s="5" t="inlineStr">
        <is>
          <t>06/08</t>
        </is>
      </c>
      <c r="K35" s="9" t="inlineStr">
        <is>
          <t>完了</t>
        </is>
      </c>
      <c r="L35" s="5" t="n">
        <v>1</v>
      </c>
      <c r="M35" s="5" t="inlineStr">
        <is>
          <t>C</t>
        </is>
      </c>
      <c r="N35" s="5" t="n"/>
      <c r="O35" s="5" t="inlineStr">
        <is>
          <t>2026-03-22</t>
        </is>
      </c>
    </row>
    <row r="36">
      <c r="A36" s="5" t="inlineStr">
        <is>
          <t>T-35</t>
        </is>
      </c>
      <c r="B36" s="5" t="inlineStr">
        <is>
          <t>収益</t>
        </is>
      </c>
      <c r="C36" s="5" t="inlineStr">
        <is>
          <t>初期プラン価格確定</t>
        </is>
      </c>
      <c r="D36" s="5" t="inlineStr">
        <is>
          <t>料金が仮設定</t>
        </is>
      </c>
      <c r="E36" s="5" t="inlineStr">
        <is>
          <t>競合調査→原価計算→3プラン価格確定</t>
        </is>
      </c>
      <c r="F36" s="5" t="inlineStr">
        <is>
          <t>確定料金プラン</t>
        </is>
      </c>
      <c r="G36" s="5" t="inlineStr">
        <is>
          <t>経営</t>
        </is>
      </c>
      <c r="H36" s="18" t="inlineStr">
        <is>
          <t>高</t>
        </is>
      </c>
      <c r="I36" s="5" t="inlineStr">
        <is>
          <t>03/31</t>
        </is>
      </c>
      <c r="J36" s="5" t="inlineStr">
        <is>
          <t>04/07</t>
        </is>
      </c>
      <c r="K36" s="16" t="inlineStr">
        <is>
          <t>未着手</t>
        </is>
      </c>
      <c r="L36" s="5" t="n">
        <v>0</v>
      </c>
      <c r="M36" s="5" t="inlineStr">
        <is>
          <t>D</t>
        </is>
      </c>
      <c r="N36" s="5" t="n"/>
      <c r="O36" s="5" t="inlineStr">
        <is>
          <t>2026-03-22</t>
        </is>
      </c>
    </row>
    <row r="37">
      <c r="A37" s="5" t="inlineStr">
        <is>
          <t>T-36</t>
        </is>
      </c>
      <c r="B37" s="5" t="inlineStr">
        <is>
          <t>収益</t>
        </is>
      </c>
      <c r="C37" s="5" t="inlineStr">
        <is>
          <t>初期パートナー1社獲得</t>
        </is>
      </c>
      <c r="D37" s="5" t="inlineStr">
        <is>
          <t>売上実績ゼロ</t>
        </is>
      </c>
      <c r="E37" s="5" t="inlineStr">
        <is>
          <t>取材先から有料パートナー獲得</t>
        </is>
      </c>
      <c r="F37" s="5" t="inlineStr">
        <is>
          <t>契約書+請求書</t>
        </is>
      </c>
      <c r="G37" s="5" t="inlineStr">
        <is>
          <t>経営</t>
        </is>
      </c>
      <c r="H37" s="18" t="inlineStr">
        <is>
          <t>高</t>
        </is>
      </c>
      <c r="I37" s="5" t="inlineStr">
        <is>
          <t>04/14</t>
        </is>
      </c>
      <c r="J37" s="5" t="inlineStr">
        <is>
          <t>04/25</t>
        </is>
      </c>
      <c r="K37" s="16" t="inlineStr">
        <is>
          <t>未着手</t>
        </is>
      </c>
      <c r="L37" s="5" t="n">
        <v>0</v>
      </c>
      <c r="M37" s="5" t="inlineStr">
        <is>
          <t>D</t>
        </is>
      </c>
      <c r="N37" s="5" t="n"/>
      <c r="O37" s="5" t="inlineStr">
        <is>
          <t>2026-03-22</t>
        </is>
      </c>
    </row>
    <row r="38">
      <c r="A38" s="5" t="inlineStr">
        <is>
          <t>T-37</t>
        </is>
      </c>
      <c r="B38" s="5" t="inlineStr">
        <is>
          <t>収益</t>
        </is>
      </c>
      <c r="C38" s="5" t="inlineStr">
        <is>
          <t>請求・入金フロー構築</t>
        </is>
      </c>
      <c r="D38" s="5" t="inlineStr">
        <is>
          <t>請求の仕組みなし</t>
        </is>
      </c>
      <c r="E38" s="5" t="inlineStr">
        <is>
          <t>請求書発行→入金確認→消込</t>
        </is>
      </c>
      <c r="F38" s="5" t="inlineStr">
        <is>
          <t>フロー+テンプレート</t>
        </is>
      </c>
      <c r="G38" s="5" t="inlineStr">
        <is>
          <t>経営</t>
        </is>
      </c>
      <c r="H38" s="19" t="inlineStr">
        <is>
          <t>中</t>
        </is>
      </c>
      <c r="I38" s="5" t="inlineStr">
        <is>
          <t>04/28</t>
        </is>
      </c>
      <c r="J38" s="5" t="inlineStr">
        <is>
          <t>05/09</t>
        </is>
      </c>
      <c r="K38" s="9" t="inlineStr">
        <is>
          <t>完了</t>
        </is>
      </c>
      <c r="L38" s="5" t="n">
        <v>1</v>
      </c>
      <c r="M38" s="5" t="inlineStr">
        <is>
          <t>B</t>
        </is>
      </c>
      <c r="N38" s="5" t="n"/>
      <c r="O38" s="5" t="inlineStr">
        <is>
          <t>2026-03-22</t>
        </is>
      </c>
    </row>
    <row r="39">
      <c r="A39" s="5" t="inlineStr">
        <is>
          <t>T-38</t>
        </is>
      </c>
      <c r="B39" s="5" t="inlineStr">
        <is>
          <t>計測</t>
        </is>
      </c>
      <c r="C39" s="5" t="inlineStr">
        <is>
          <t>週次KPIレポート開始</t>
        </is>
      </c>
      <c r="D39" s="5" t="inlineStr">
        <is>
          <t>KPIを追う習慣なし</t>
        </is>
      </c>
      <c r="E39" s="5" t="inlineStr">
        <is>
          <t>毎週月曜15分ミーティング設定</t>
        </is>
      </c>
      <c r="F39" s="5" t="inlineStr">
        <is>
          <t>テンプレート+会議体</t>
        </is>
      </c>
      <c r="G39" s="5" t="inlineStr">
        <is>
          <t>PM</t>
        </is>
      </c>
      <c r="H39" s="18" t="inlineStr">
        <is>
          <t>高</t>
        </is>
      </c>
      <c r="I39" s="5" t="inlineStr">
        <is>
          <t>04/14</t>
        </is>
      </c>
      <c r="J39" s="5" t="inlineStr">
        <is>
          <t>04/21</t>
        </is>
      </c>
      <c r="K39" s="9" t="inlineStr">
        <is>
          <t>完了</t>
        </is>
      </c>
      <c r="L39" s="5" t="n">
        <v>1</v>
      </c>
      <c r="M39" s="5" t="inlineStr">
        <is>
          <t>A</t>
        </is>
      </c>
      <c r="N39" s="5" t="n"/>
      <c r="O39" s="5" t="inlineStr">
        <is>
          <t>2026-03-22</t>
        </is>
      </c>
    </row>
    <row r="40">
      <c r="A40" s="5" t="inlineStr">
        <is>
          <t>T-39</t>
        </is>
      </c>
      <c r="B40" s="5" t="inlineStr">
        <is>
          <t>計測</t>
        </is>
      </c>
      <c r="C40" s="5" t="inlineStr">
        <is>
          <t>月次レビュー会議設定</t>
        </is>
      </c>
      <c r="D40" s="5" t="inlineStr">
        <is>
          <t>月次振り返りの場なし</t>
        </is>
      </c>
      <c r="E40" s="5" t="inlineStr">
        <is>
          <t>毎月末1時間の定型会議</t>
        </is>
      </c>
      <c r="F40" s="5" t="inlineStr">
        <is>
          <t>アジェンダテンプレート</t>
        </is>
      </c>
      <c r="G40" s="5" t="inlineStr">
        <is>
          <t>PM</t>
        </is>
      </c>
      <c r="H40" s="19" t="inlineStr">
        <is>
          <t>中</t>
        </is>
      </c>
      <c r="I40" s="5" t="inlineStr">
        <is>
          <t>05/04</t>
        </is>
      </c>
      <c r="J40" s="5" t="inlineStr">
        <is>
          <t>05/11</t>
        </is>
      </c>
      <c r="K40" s="9" t="inlineStr">
        <is>
          <t>完了</t>
        </is>
      </c>
      <c r="L40" s="5" t="n">
        <v>1</v>
      </c>
      <c r="M40" s="5" t="inlineStr">
        <is>
          <t>A</t>
        </is>
      </c>
      <c r="N40" s="5" t="n"/>
      <c r="O40" s="5" t="inlineStr">
        <is>
          <t>2026-03-22</t>
        </is>
      </c>
    </row>
    <row r="41">
      <c r="A41" s="5" t="inlineStr">
        <is>
          <t>T-40</t>
        </is>
      </c>
      <c r="B41" s="5" t="inlineStr">
        <is>
          <t>戦略</t>
        </is>
      </c>
      <c r="C41" s="5" t="inlineStr">
        <is>
          <t>四半期マイルストーン設定</t>
        </is>
      </c>
      <c r="D41" s="5" t="inlineStr">
        <is>
          <t>四半期目標がない</t>
        </is>
      </c>
      <c r="E41" s="5" t="inlineStr">
        <is>
          <t>Q2/Q3/Q4の売上/パートナー/ユーザー目標</t>
        </is>
      </c>
      <c r="F41" s="5" t="inlineStr">
        <is>
          <t>マイルストーン表</t>
        </is>
      </c>
      <c r="G41" s="5" t="inlineStr">
        <is>
          <t>経営</t>
        </is>
      </c>
      <c r="H41" s="18" t="inlineStr">
        <is>
          <t>高</t>
        </is>
      </c>
      <c r="I41" s="5" t="inlineStr">
        <is>
          <t>03/31</t>
        </is>
      </c>
      <c r="J41" s="5" t="inlineStr">
        <is>
          <t>04/07</t>
        </is>
      </c>
      <c r="K41" s="16" t="inlineStr">
        <is>
          <t>未着手</t>
        </is>
      </c>
      <c r="L41" s="5" t="n">
        <v>0</v>
      </c>
      <c r="M41" s="5" t="inlineStr">
        <is>
          <t>C</t>
        </is>
      </c>
      <c r="N41" s="5" t="n"/>
      <c r="O41" s="5" t="inlineStr">
        <is>
          <t>2026-03-22</t>
        </is>
      </c>
    </row>
    <row r="42">
      <c r="A42" s="5" t="inlineStr">
        <is>
          <t>T-41</t>
        </is>
      </c>
      <c r="B42" s="5" t="inlineStr">
        <is>
          <t>戦略</t>
        </is>
      </c>
      <c r="C42" s="5" t="inlineStr">
        <is>
          <t>年間事業計画策定</t>
        </is>
      </c>
      <c r="D42" s="5" t="inlineStr">
        <is>
          <t>年間計画なし</t>
        </is>
      </c>
      <c r="E42" s="5" t="inlineStr">
        <is>
          <t>年間売上/投資/人員計画</t>
        </is>
      </c>
      <c r="F42" s="5" t="inlineStr">
        <is>
          <t>事業計画書</t>
        </is>
      </c>
      <c r="G42" s="5" t="inlineStr">
        <is>
          <t>経営</t>
        </is>
      </c>
      <c r="H42" s="19" t="inlineStr">
        <is>
          <t>中</t>
        </is>
      </c>
      <c r="I42" s="5" t="inlineStr">
        <is>
          <t>06/01</t>
        </is>
      </c>
      <c r="J42" s="5" t="inlineStr">
        <is>
          <t>06/15</t>
        </is>
      </c>
      <c r="K42" s="16" t="inlineStr">
        <is>
          <t>未着手</t>
        </is>
      </c>
      <c r="L42" s="5" t="n">
        <v>0</v>
      </c>
      <c r="M42" s="5" t="inlineStr">
        <is>
          <t>C</t>
        </is>
      </c>
      <c r="N42" s="5" t="n"/>
      <c r="O42" s="5" t="inlineStr">
        <is>
          <t>2026-03-22</t>
        </is>
      </c>
    </row>
    <row r="43">
      <c r="A43" s="5" t="inlineStr">
        <is>
          <t>T-42</t>
        </is>
      </c>
      <c r="B43" s="5" t="inlineStr">
        <is>
          <t>品質</t>
        </is>
      </c>
      <c r="C43" s="5" t="inlineStr">
        <is>
          <t>構造化データ入力</t>
        </is>
      </c>
      <c r="D43" s="5" t="inlineStr">
        <is>
          <t>AI推薦用データ入力ゼロ</t>
        </is>
      </c>
      <c r="E43" s="5" t="inlineStr">
        <is>
          <t>デザインテイスト/性能/顧客像を入力</t>
        </is>
      </c>
      <c r="F43" s="5" t="inlineStr">
        <is>
          <t>入力ガイド</t>
        </is>
      </c>
      <c r="G43" s="5" t="inlineStr">
        <is>
          <t>コンテンツ</t>
        </is>
      </c>
      <c r="H43" s="19" t="inlineStr">
        <is>
          <t>中</t>
        </is>
      </c>
      <c r="I43" s="5" t="inlineStr">
        <is>
          <t>05/04</t>
        </is>
      </c>
      <c r="J43" s="5" t="inlineStr">
        <is>
          <t>05/22</t>
        </is>
      </c>
      <c r="K43" s="16" t="inlineStr">
        <is>
          <t>未着手</t>
        </is>
      </c>
      <c r="L43" s="5" t="n">
        <v>0</v>
      </c>
      <c r="M43" s="5" t="inlineStr">
        <is>
          <t>B</t>
        </is>
      </c>
      <c r="N43" s="5" t="n"/>
      <c r="O43" s="5" t="inlineStr">
        <is>
          <t>2026-03-22</t>
        </is>
      </c>
    </row>
    <row r="44">
      <c r="A44" s="5" t="inlineStr">
        <is>
          <t>T-43</t>
        </is>
      </c>
      <c r="B44" s="5" t="inlineStr">
        <is>
          <t>品質</t>
        </is>
      </c>
      <c r="C44" s="5" t="inlineStr">
        <is>
          <t>継続的品質管理の運用設計</t>
        </is>
      </c>
      <c r="D44" s="5" t="inlineStr">
        <is>
          <t>劣化防止の仕組みなし</t>
        </is>
      </c>
      <c r="E44" s="5" t="inlineStr">
        <is>
          <t>四半期レビュー/年次更新フロー設計</t>
        </is>
      </c>
      <c r="F44" s="5" t="inlineStr">
        <is>
          <t>運用フロー</t>
        </is>
      </c>
      <c r="G44" s="5" t="inlineStr">
        <is>
          <t>PM</t>
        </is>
      </c>
      <c r="H44" s="5" t="inlineStr">
        <is>
          <t>低</t>
        </is>
      </c>
      <c r="I44" s="5" t="inlineStr">
        <is>
          <t>06/08</t>
        </is>
      </c>
      <c r="J44" s="5" t="inlineStr">
        <is>
          <t>06/22</t>
        </is>
      </c>
      <c r="K44" s="9" t="inlineStr">
        <is>
          <t>完了</t>
        </is>
      </c>
      <c r="L44" s="5" t="n">
        <v>1</v>
      </c>
      <c r="M44" s="5" t="inlineStr">
        <is>
          <t>B</t>
        </is>
      </c>
      <c r="N44" s="5" t="n"/>
      <c r="O44" s="5" t="inlineStr">
        <is>
          <t>2026-03-22</t>
        </is>
      </c>
    </row>
    <row r="45">
      <c r="A45" s="5" t="inlineStr">
        <is>
          <t>T-44</t>
        </is>
      </c>
      <c r="B45" s="5" t="inlineStr">
        <is>
          <t>品質</t>
        </is>
      </c>
      <c r="C45" s="5" t="inlineStr">
        <is>
          <t>物件ページ画像整備</t>
        </is>
      </c>
      <c r="D45" s="5" t="inlineStr">
        <is>
          <t>写真がプレースホルダー</t>
        </is>
      </c>
      <c r="E45" s="5" t="inlineStr">
        <is>
          <t>実写真撮影/収集→差し替え</t>
        </is>
      </c>
      <c r="F45" s="5" t="inlineStr">
        <is>
          <t>物件写真</t>
        </is>
      </c>
      <c r="G45" s="5" t="inlineStr">
        <is>
          <t>コンテンツ</t>
        </is>
      </c>
      <c r="H45" s="19" t="inlineStr">
        <is>
          <t>中</t>
        </is>
      </c>
      <c r="I45" s="5" t="inlineStr">
        <is>
          <t>05/18</t>
        </is>
      </c>
      <c r="J45" s="5" t="inlineStr">
        <is>
          <t>06/15</t>
        </is>
      </c>
      <c r="K45" s="16" t="inlineStr">
        <is>
          <t>未着手</t>
        </is>
      </c>
      <c r="L45" s="5" t="n">
        <v>0</v>
      </c>
      <c r="M45" s="5" t="inlineStr">
        <is>
          <t>D</t>
        </is>
      </c>
      <c r="N45" s="5" t="n"/>
      <c r="O45" s="5" t="inlineStr">
        <is>
          <t>2026-03-22</t>
        </is>
      </c>
    </row>
    <row r="46">
      <c r="A46" s="46" t="inlineStr">
        <is>
          <t>T-45</t>
        </is>
      </c>
      <c r="B46" s="46" t="inlineStr">
        <is>
          <t>営業</t>
        </is>
      </c>
      <c r="C46" s="46" t="inlineStr">
        <is>
          <t>銀行への提案（ぺいほーむ特別金利）</t>
        </is>
      </c>
      <c r="D46" s="46" t="inlineStr">
        <is>
          <t>住宅ローン連携で差別化</t>
        </is>
      </c>
      <c r="E46" s="46" t="inlineStr">
        <is>
          <t>地銀・信金にぺいほーむ経由の住宅ローン特別金利を提案</t>
        </is>
      </c>
      <c r="F46" s="46" t="inlineStr">
        <is>
          <t>提携契約書/特別金利プラン</t>
        </is>
      </c>
      <c r="G46" s="46" t="inlineStr">
        <is>
          <t>経営/営業</t>
        </is>
      </c>
      <c r="H46" s="46" t="inlineStr">
        <is>
          <t>中</t>
        </is>
      </c>
      <c r="I46" s="46" t="inlineStr">
        <is>
          <t>2026-04-15</t>
        </is>
      </c>
      <c r="J46" s="46" t="inlineStr">
        <is>
          <t>2026-06-30</t>
        </is>
      </c>
      <c r="K46" s="46" t="inlineStr">
        <is>
          <t>未着手</t>
        </is>
      </c>
      <c r="L46" s="46" t="inlineStr">
        <is>
          <t>0%</t>
        </is>
      </c>
      <c r="M46" s="46" t="inlineStr">
        <is>
          <t>D</t>
        </is>
      </c>
      <c r="N46" s="46" t="inlineStr">
        <is>
          <t>鹿児島銀行/南日本銀行が候補</t>
        </is>
      </c>
      <c r="O46" s="46" t="inlineStr">
        <is>
          <t>2026-03-24</t>
        </is>
      </c>
      <c r="P46" s="48" t="inlineStr">
        <is>
          <t>Phase 1</t>
        </is>
      </c>
    </row>
    <row r="47">
      <c r="A47" s="46" t="inlineStr">
        <is>
          <t>T-46</t>
        </is>
      </c>
      <c r="B47" s="46" t="inlineStr">
        <is>
          <t>営業</t>
        </is>
      </c>
      <c r="C47" s="46" t="inlineStr">
        <is>
          <t>不動産会社との提携交渉</t>
        </is>
      </c>
      <c r="D47" s="46" t="inlineStr">
        <is>
          <t>土地探しからワンストップ支援</t>
        </is>
      </c>
      <c r="E47" s="46" t="inlineStr">
        <is>
          <t>鹿児島・福岡の不動産会社に土地情報連携を提案</t>
        </is>
      </c>
      <c r="F47" s="46" t="inlineStr">
        <is>
          <t>提携契約/土地情報連携フロー</t>
        </is>
      </c>
      <c r="G47" s="46" t="inlineStr">
        <is>
          <t>経営/営業</t>
        </is>
      </c>
      <c r="H47" s="46" t="inlineStr">
        <is>
          <t>中</t>
        </is>
      </c>
      <c r="I47" s="46" t="inlineStr">
        <is>
          <t>2026-05-01</t>
        </is>
      </c>
      <c r="J47" s="46" t="inlineStr">
        <is>
          <t>2026-07-31</t>
        </is>
      </c>
      <c r="K47" s="46" t="inlineStr">
        <is>
          <t>未着手</t>
        </is>
      </c>
      <c r="L47" s="46" t="inlineStr">
        <is>
          <t>0%</t>
        </is>
      </c>
      <c r="M47" s="46" t="inlineStr">
        <is>
          <t>D</t>
        </is>
      </c>
      <c r="N47" s="46" t="inlineStr">
        <is>
          <t>平屋向き土地（50坪以上）</t>
        </is>
      </c>
      <c r="O47" s="46" t="inlineStr">
        <is>
          <t>2026-03-24</t>
        </is>
      </c>
      <c r="P47" s="48" t="inlineStr">
        <is>
          <t>Phase 2</t>
        </is>
      </c>
    </row>
    <row r="48" ht="30" customHeight="1">
      <c r="A48" s="34" t="inlineStr">
        <is>
          <t>自動化判定基準（ABCD）</t>
        </is>
      </c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6" t="n"/>
    </row>
    <row r="49">
      <c r="A49" s="27" t="inlineStr">
        <is>
          <t>判定</t>
        </is>
      </c>
      <c r="B49" s="27" t="inlineStr">
        <is>
          <t>意味</t>
        </is>
      </c>
      <c r="C49" s="27" t="inlineStr">
        <is>
          <t>クロードコードの役割</t>
        </is>
      </c>
      <c r="D49" s="27" t="inlineStr">
        <is>
          <t>人間の役割</t>
        </is>
      </c>
      <c r="E49" s="27" t="inlineStr">
        <is>
          <t>具体例</t>
        </is>
      </c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 ht="60" customHeight="1">
      <c r="A50" s="37" t="inlineStr">
        <is>
          <t>A</t>
        </is>
      </c>
      <c r="B50" s="28" t="inlineStr">
        <is>
          <t>ほぼ自動化可能</t>
        </is>
      </c>
      <c r="C50" s="28" t="inlineStr">
        <is>
          <t>成果物を完成まで作成。そのまま使えるレベル。</t>
        </is>
      </c>
      <c r="D50" s="28" t="inlineStr">
        <is>
          <t>最終確認のみ。内容に問題がなければそのまま採用。</t>
        </is>
      </c>
      <c r="E50" s="28" t="inlineStr">
        <is>
          <t>SEOメタデータ一括生成、KPIテンプレート作成、レポート雛形作成</t>
        </is>
      </c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 ht="60" customHeight="1">
      <c r="A51" s="38" t="inlineStr">
        <is>
          <t>B</t>
        </is>
      </c>
      <c r="B51" s="28" t="inlineStr">
        <is>
          <t>AIでたたき台作成、人間レビュー必須</t>
        </is>
      </c>
      <c r="C51" s="28" t="inlineStr">
        <is>
          <t>草案・初稿・構成案を作成。ただしそのままは使えない。</t>
        </is>
      </c>
      <c r="D51" s="28" t="inlineStr">
        <is>
          <t>内容の正確性確認・表現の調整・事実確認・最終判断。</t>
        </is>
      </c>
      <c r="E51" s="28" t="inlineStr">
        <is>
          <t>営業提案書、ペルソナカード、記事下書き、メールテンプレート</t>
        </is>
      </c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 ht="60" customHeight="1">
      <c r="A52" s="39" t="inlineStr">
        <is>
          <t>C</t>
        </is>
      </c>
      <c r="B52" s="28" t="inlineStr">
        <is>
          <t>AI補助は可能だが人間主導</t>
        </is>
      </c>
      <c r="C52" s="28" t="inlineStr">
        <is>
          <t>情報収集・整理・分析の補助。だが判断・実行は人間が行う。</t>
        </is>
      </c>
      <c r="D52" s="28" t="inlineStr">
        <is>
          <t>方針決定・実行・調整・外部との調整。AIの出力は参考情報として扱う。</t>
        </is>
      </c>
      <c r="E52" s="28" t="inlineStr">
        <is>
          <t>KPI目標設定、コンテンツ企画選定、競合分析の示唆出し</t>
        </is>
      </c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 ht="60" customHeight="1">
      <c r="A53" s="40" t="inlineStr">
        <is>
          <t>D</t>
        </is>
      </c>
      <c r="B53" s="28" t="inlineStr">
        <is>
          <t>人間が実行すべき（自動化非推奨）</t>
        </is>
      </c>
      <c r="C53" s="28" t="inlineStr">
        <is>
          <t>関与しない。人間の判断・交渉・関係構築が必須。</t>
        </is>
      </c>
      <c r="D53" s="28" t="inlineStr">
        <is>
          <t>全て人間が行う。意思決定・交渉・契約・現場作業・価格決定。</t>
        </is>
      </c>
      <c r="E53" s="28" t="inlineStr">
        <is>
          <t>工務店への営業訪問、価格決定、契約締結、撮影・取材</t>
        </is>
      </c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</row>
    <row r="54">
      <c r="A54" s="5" t="inlineStr">
        <is>
          <t>T-53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>
      <c r="A55" s="5" t="inlineStr">
        <is>
          <t>T-54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</row>
    <row r="56" ht="30" customHeight="1">
      <c r="A56" s="26" t="inlineStr">
        <is>
          <t>運用ルール</t>
        </is>
      </c>
    </row>
    <row r="57" ht="80" customHeight="1">
      <c r="A57" s="41" t="inlineStr">
        <is>
          <t>ステータスの定義</t>
        </is>
      </c>
      <c r="B57" s="28" t="inlineStr">
        <is>
          <t>未着手：まだ誰も手をつけていない
進行中：担当者が作業中
確認中：成果物はあるが内容の確認・レビューが必要
完了：成果物が確定し、実務で使える状態
保留：他のタスクの完了を待つ必要がある</t>
        </is>
      </c>
      <c r="C57" s="49" t="n"/>
      <c r="D57" s="49" t="n"/>
      <c r="E57" s="49" t="n"/>
      <c r="F57" s="49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50" t="n"/>
    </row>
    <row r="58" ht="80" customHeight="1">
      <c r="A58" s="41" t="inlineStr">
        <is>
          <t>「完了」にする条件</t>
        </is>
      </c>
      <c r="B58" s="28" t="inlineStr">
        <is>
          <t>● 成果物が存在する（ファイル・シート・ドキュメント等）
● 内容が実データに基づいている（テンプレートやプレースホルダーのままではない）
● 担当者が確認済み
● そのまま実務で使える状態</t>
        </is>
      </c>
      <c r="C58" s="49" t="n"/>
      <c r="D58" s="49" t="n"/>
      <c r="E58" s="49" t="n"/>
      <c r="F58" s="49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50" t="n"/>
    </row>
    <row r="59" ht="80" customHeight="1">
      <c r="A59" s="41" t="inlineStr">
        <is>
          <t>クロードコードが作った成果物の扱い</t>
        </is>
      </c>
      <c r="B59" s="28" t="inlineStr">
        <is>
          <t>● A判定のタスク：最終確認後、そのまま「完了」にしてOK
● B判定のタスク：草案作成時点では「確認中」。人間がレビュー・修正後に「完了」
● C/D判定のタスク：AIの出力があっても「確認中」止まり。人間が実行・判断して初めて「完了」</t>
        </is>
      </c>
      <c r="C59" s="49" t="n"/>
      <c r="D59" s="49" t="n"/>
      <c r="E59" s="49" t="n"/>
      <c r="F59" s="49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50" t="n"/>
    </row>
    <row r="60" ht="80" customHeight="1">
      <c r="A60" s="41" t="inlineStr">
        <is>
          <t>週次レビューのやり方</t>
        </is>
      </c>
      <c r="B60" s="28" t="inlineStr">
        <is>
          <t>1. ダッシュボードで全体進捗を確認
2. フェーズ管理シートで現在フェーズの残タスクを確認
3. ガントチャートで期限遅れを確認
4. 担当別Todoで各メンバーのタスクを確認
5. 「確認中」ステータスのタスクを優先的にレビュー</t>
        </is>
      </c>
      <c r="C60" s="49" t="n"/>
      <c r="D60" s="49" t="n"/>
      <c r="E60" s="49" t="n"/>
      <c r="F60" s="49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50" t="n"/>
    </row>
    <row r="61" ht="80" customHeight="1">
      <c r="A61" s="41" t="inlineStr">
        <is>
          <t>フェーズ移行の判断</t>
        </is>
      </c>
      <c r="B61" s="28" t="inlineStr">
        <is>
          <t>フェーズ管理シートの「フェーズ移行条件チェックリスト」を全員で確認。
全項目が✅になったら次フェーズに移行。
移行時には次フェーズのTodoを「未着手」から「進行中」に更新。</t>
        </is>
      </c>
      <c r="C61" s="49" t="n"/>
      <c r="D61" s="49" t="n"/>
      <c r="E61" s="49" t="n"/>
      <c r="F61" s="49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50" t="n"/>
    </row>
    <row r="62" ht="80" customHeight="1">
      <c r="A62" s="41" t="inlineStr">
        <is>
          <t>新規タスクの追加方法</t>
        </is>
      </c>
      <c r="B62" s="28" t="inlineStr">
        <is>
          <t>「追加Todo受付」シートに記入。
週次レビューで優先度を判断し、Todo詳細に移動。</t>
        </is>
      </c>
      <c r="C62" s="49" t="n"/>
      <c r="D62" s="49" t="n"/>
      <c r="E62" s="49" t="n"/>
      <c r="F62" s="49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50" t="n"/>
    </row>
    <row r="65" ht="30" customHeight="1">
      <c r="A65" s="26" t="inlineStr">
        <is>
          <t>担当分担ルール</t>
        </is>
      </c>
    </row>
    <row r="66">
      <c r="A66" s="27" t="inlineStr">
        <is>
          <t>判定</t>
        </is>
      </c>
      <c r="B66" s="27" t="inlineStr">
        <is>
          <t>クロードコードがやること</t>
        </is>
      </c>
      <c r="C66" s="27" t="inlineStr">
        <is>
          <t>終わった後のステータス</t>
        </is>
      </c>
      <c r="D66" s="27" t="inlineStr">
        <is>
          <t>人間がやること</t>
        </is>
      </c>
      <c r="E66" s="27" t="inlineStr">
        <is>
          <t>完了後のステータス</t>
        </is>
      </c>
    </row>
    <row r="67" ht="45" customHeight="1">
      <c r="A67" s="37" t="inlineStr">
        <is>
          <t>A</t>
        </is>
      </c>
      <c r="B67" s="28" t="inlineStr">
        <is>
          <t>成果物を完成まで作成</t>
        </is>
      </c>
      <c r="C67" s="28" t="inlineStr">
        <is>
          <t>→ 確認中</t>
        </is>
      </c>
      <c r="D67" s="28" t="inlineStr">
        <is>
          <t>内容を確認して問題なければ承認</t>
        </is>
      </c>
      <c r="E67" s="28" t="inlineStr">
        <is>
          <t>→ 完了</t>
        </is>
      </c>
    </row>
    <row r="68" ht="45" customHeight="1">
      <c r="A68" s="38" t="inlineStr">
        <is>
          <t>B</t>
        </is>
      </c>
      <c r="B68" s="28" t="inlineStr">
        <is>
          <t>草案・初稿・構成案を作成</t>
        </is>
      </c>
      <c r="C68" s="28" t="inlineStr">
        <is>
          <t>→ 確認中</t>
        </is>
      </c>
      <c r="D68" s="28" t="inlineStr">
        <is>
          <t>内容をレビュー・修正・事実確認して確定</t>
        </is>
      </c>
      <c r="E68" s="28" t="inlineStr">
        <is>
          <t>→ 完了</t>
        </is>
      </c>
    </row>
    <row r="69" ht="45" customHeight="1">
      <c r="A69" s="39" t="inlineStr">
        <is>
          <t>C</t>
        </is>
      </c>
      <c r="B69" s="28" t="inlineStr">
        <is>
          <t>情報収集・分析・整理の補助</t>
        </is>
      </c>
      <c r="C69" s="28" t="inlineStr">
        <is>
          <t>→ 確認中</t>
        </is>
      </c>
      <c r="D69" s="28" t="inlineStr">
        <is>
          <t>判断・実行・外部調整を行う</t>
        </is>
      </c>
      <c r="E69" s="28" t="inlineStr">
        <is>
          <t>→ 完了</t>
        </is>
      </c>
    </row>
    <row r="70" ht="45" customHeight="1">
      <c r="A70" s="40" t="inlineStr">
        <is>
          <t>D</t>
        </is>
      </c>
      <c r="B70" s="28" t="inlineStr">
        <is>
          <t>関与しない</t>
        </is>
      </c>
      <c r="C70" s="28" t="inlineStr">
        <is>
          <t>-</t>
        </is>
      </c>
      <c r="D70" s="28" t="inlineStr">
        <is>
          <t>全て人間が実行（交渉・契約・撮影等）</t>
        </is>
      </c>
      <c r="E70" s="28" t="inlineStr">
        <is>
          <t>→ 完了</t>
        </is>
      </c>
    </row>
    <row r="72">
      <c r="A72" s="48" t="inlineStr">
        <is>
          <t>T-47</t>
        </is>
      </c>
      <c r="B72" s="48" t="inlineStr">
        <is>
          <t>営業</t>
        </is>
      </c>
      <c r="C72" s="48" t="inlineStr">
        <is>
          <t>住宅展示場・イベント出展交渉</t>
        </is>
      </c>
      <c r="D72" s="48" t="inlineStr">
        <is>
          <t>対面接点を増やしブランド認知向上</t>
        </is>
      </c>
      <c r="E72" s="48" t="inlineStr">
        <is>
          <t>鹿児島の住宅展示場にぺいほーむブース出展を交渉</t>
        </is>
      </c>
      <c r="F72" s="48" t="inlineStr">
        <is>
          <t>出展契約/ブース設計案</t>
        </is>
      </c>
      <c r="G72" s="48" t="inlineStr">
        <is>
          <t>経営/営業</t>
        </is>
      </c>
      <c r="H72" s="48" t="inlineStr">
        <is>
          <t>低</t>
        </is>
      </c>
      <c r="I72" s="48" t="inlineStr">
        <is>
          <t>2026-06-01</t>
        </is>
      </c>
      <c r="J72" s="48" t="inlineStr">
        <is>
          <t>2026-09-30</t>
        </is>
      </c>
      <c r="K72" s="48" t="inlineStr">
        <is>
          <t>未着手</t>
        </is>
      </c>
      <c r="L72" s="48" t="inlineStr">
        <is>
          <t>0%</t>
        </is>
      </c>
      <c r="M72" s="48" t="inlineStr">
        <is>
          <t>D</t>
        </is>
      </c>
      <c r="N72" s="48" t="inlineStr">
        <is>
          <t>年2回程度のイベント出展</t>
        </is>
      </c>
      <c r="O72" s="48" t="inlineStr">
        <is>
          <t>2026-03-24</t>
        </is>
      </c>
      <c r="P72" s="48" t="inlineStr">
        <is>
          <t>Phase 2</t>
        </is>
      </c>
    </row>
    <row r="73">
      <c r="A73" s="48" t="inlineStr">
        <is>
          <t>T-48</t>
        </is>
      </c>
      <c r="B73" s="48" t="inlineStr">
        <is>
          <t>営業</t>
        </is>
      </c>
      <c r="C73" s="48" t="inlineStr">
        <is>
          <t>火災保険・引越し業者アライアンス</t>
        </is>
      </c>
      <c r="D73" s="48" t="inlineStr">
        <is>
          <t>周辺サービスで収益多角化</t>
        </is>
      </c>
      <c r="E73" s="48" t="inlineStr">
        <is>
          <t>火災保険代理店/引越し業者に成約紹介料モデルを提案</t>
        </is>
      </c>
      <c r="F73" s="48" t="inlineStr">
        <is>
          <t>アライアンス契約/紹介フロー</t>
        </is>
      </c>
      <c r="G73" s="48" t="inlineStr">
        <is>
          <t>経営/営業</t>
        </is>
      </c>
      <c r="H73" s="48" t="inlineStr">
        <is>
          <t>低</t>
        </is>
      </c>
      <c r="I73" s="48" t="inlineStr">
        <is>
          <t>2026-07-01</t>
        </is>
      </c>
      <c r="J73" s="48" t="inlineStr">
        <is>
          <t>2026-09-30</t>
        </is>
      </c>
      <c r="K73" s="48" t="inlineStr">
        <is>
          <t>未着手</t>
        </is>
      </c>
      <c r="L73" s="48" t="inlineStr">
        <is>
          <t>0%</t>
        </is>
      </c>
      <c r="M73" s="48" t="inlineStr">
        <is>
          <t>D</t>
        </is>
      </c>
      <c r="N73" s="48" t="inlineStr">
        <is>
          <t>成約後アフターサービス</t>
        </is>
      </c>
      <c r="O73" s="48" t="inlineStr">
        <is>
          <t>2026-03-24</t>
        </is>
      </c>
      <c r="P73" s="48" t="inlineStr">
        <is>
          <t>Phase 3</t>
        </is>
      </c>
    </row>
    <row r="74">
      <c r="A74" s="48" t="inlineStr">
        <is>
          <t>T-49</t>
        </is>
      </c>
      <c r="B74" s="48" t="inlineStr">
        <is>
          <t>戦略</t>
        </is>
      </c>
      <c r="C74" s="48" t="inlineStr">
        <is>
          <t>補助金・助成金情報の定期更新</t>
        </is>
      </c>
      <c r="D74" s="48" t="inlineStr">
        <is>
          <t>情報鮮度がプラットフォーム信頼度に直結</t>
        </is>
      </c>
      <c r="E74" s="48" t="inlineStr">
        <is>
          <t>国/県/市の住宅関連補助金を月次で調査・更新</t>
        </is>
      </c>
      <c r="F74" s="48" t="inlineStr">
        <is>
          <t>補助金情報一覧/更新フロー</t>
        </is>
      </c>
      <c r="G74" s="48" t="inlineStr">
        <is>
          <t>コンテンツ</t>
        </is>
      </c>
      <c r="H74" s="48" t="inlineStr">
        <is>
          <t>高</t>
        </is>
      </c>
      <c r="I74" s="48" t="inlineStr">
        <is>
          <t>2026-04-01</t>
        </is>
      </c>
      <c r="J74" s="48" t="inlineStr">
        <is>
          <t>2026-04-30</t>
        </is>
      </c>
      <c r="K74" s="48" t="inlineStr">
        <is>
          <t>未着手</t>
        </is>
      </c>
      <c r="L74" s="48" t="inlineStr">
        <is>
          <t>0%</t>
        </is>
      </c>
      <c r="M74" s="48" t="inlineStr">
        <is>
          <t>B</t>
        </is>
      </c>
      <c r="N74" s="48" t="inlineStr">
        <is>
          <t>2026年度補助金が4月発表</t>
        </is>
      </c>
      <c r="O74" s="48" t="inlineStr">
        <is>
          <t>2026-03-24</t>
        </is>
      </c>
      <c r="P74" s="48" t="inlineStr">
        <is>
          <t>Phase 1</t>
        </is>
      </c>
    </row>
    <row r="75">
      <c r="A75" s="48" t="inlineStr">
        <is>
          <t>T-50</t>
        </is>
      </c>
      <c r="B75" s="48" t="inlineStr">
        <is>
          <t>集客</t>
        </is>
      </c>
      <c r="C75" s="48" t="inlineStr">
        <is>
          <t>Instagram運用開始</t>
        </is>
      </c>
      <c r="D75" s="48" t="inlineStr">
        <is>
          <t>YouTube以外の集客チャネル確立</t>
        </is>
      </c>
      <c r="E75" s="48" t="inlineStr">
        <is>
          <t>Instagram開設。週3投稿で平屋写真を投稿</t>
        </is>
      </c>
      <c r="F75" s="48" t="inlineStr">
        <is>
          <t>投稿テンプレート/運用ガイド</t>
        </is>
      </c>
      <c r="G75" s="48" t="inlineStr">
        <is>
          <t>マーケ</t>
        </is>
      </c>
      <c r="H75" s="48" t="inlineStr">
        <is>
          <t>中</t>
        </is>
      </c>
      <c r="I75" s="48" t="inlineStr">
        <is>
          <t>2026-04-15</t>
        </is>
      </c>
      <c r="J75" s="48" t="inlineStr">
        <is>
          <t>2026-05-31</t>
        </is>
      </c>
      <c r="K75" s="48" t="inlineStr">
        <is>
          <t>未着手</t>
        </is>
      </c>
      <c r="L75" s="48" t="inlineStr">
        <is>
          <t>0%</t>
        </is>
      </c>
      <c r="M75" s="48" t="inlineStr">
        <is>
          <t>C</t>
        </is>
      </c>
      <c r="N75" s="48" t="inlineStr">
        <is>
          <t>YouTube動画カット画像を再利用</t>
        </is>
      </c>
      <c r="O75" s="48" t="inlineStr">
        <is>
          <t>2026-03-24</t>
        </is>
      </c>
      <c r="P75" s="48" t="inlineStr">
        <is>
          <t>Phase 1</t>
        </is>
      </c>
    </row>
    <row r="76">
      <c r="A76" s="48" t="inlineStr">
        <is>
          <t>T-51</t>
        </is>
      </c>
      <c r="B76" s="48" t="inlineStr">
        <is>
          <t>営業</t>
        </is>
      </c>
      <c r="C76" s="48" t="inlineStr">
        <is>
          <t>既存YouTube視聴者アンケート実施</t>
        </is>
      </c>
      <c r="D76" s="48" t="inlineStr">
        <is>
          <t>ターゲット像の解像度を上げる</t>
        </is>
      </c>
      <c r="E76" s="48" t="inlineStr">
        <is>
          <t>YouTubeコミュニティ投稿でアンケート実施</t>
        </is>
      </c>
      <c r="F76" s="48" t="inlineStr">
        <is>
          <t>アンケート結果/ペルソナ更新</t>
        </is>
      </c>
      <c r="G76" s="48" t="inlineStr">
        <is>
          <t>経営/マーケ</t>
        </is>
      </c>
      <c r="H76" s="48" t="inlineStr">
        <is>
          <t>高</t>
        </is>
      </c>
      <c r="I76" s="48" t="inlineStr">
        <is>
          <t>2026-04-01</t>
        </is>
      </c>
      <c r="J76" s="48" t="inlineStr">
        <is>
          <t>2026-04-21</t>
        </is>
      </c>
      <c r="K76" s="48" t="inlineStr">
        <is>
          <t>未着手</t>
        </is>
      </c>
      <c r="L76" s="48" t="inlineStr">
        <is>
          <t>0%</t>
        </is>
      </c>
      <c r="M76" s="48" t="inlineStr">
        <is>
          <t>C</t>
        </is>
      </c>
      <c r="N76" s="48" t="inlineStr">
        <is>
          <t>コミュニティ投稿は無料</t>
        </is>
      </c>
      <c r="O76" s="48" t="inlineStr">
        <is>
          <t>2026-03-24</t>
        </is>
      </c>
      <c r="P76" s="48" t="inlineStr">
        <is>
          <t>Phase 1</t>
        </is>
      </c>
    </row>
    <row r="77">
      <c r="A77" s="48" t="inlineStr">
        <is>
          <t>T-52</t>
        </is>
      </c>
      <c r="B77" s="48" t="inlineStr">
        <is>
          <t>オペ</t>
        </is>
      </c>
      <c r="C77" s="48" t="inlineStr">
        <is>
          <t>カスタマーサポート体制構築</t>
        </is>
      </c>
      <c r="D77" s="48" t="inlineStr">
        <is>
          <t>反響対応品質がリピート/口コミに直結</t>
        </is>
      </c>
      <c r="E77" s="48" t="inlineStr">
        <is>
          <t>電話/メール/LINE対応の担当割り振り</t>
        </is>
      </c>
      <c r="F77" s="48" t="inlineStr">
        <is>
          <t>対応担当表/週次シフト</t>
        </is>
      </c>
      <c r="G77" s="48" t="inlineStr">
        <is>
          <t>経営/CS</t>
        </is>
      </c>
      <c r="H77" s="48" t="inlineStr">
        <is>
          <t>高</t>
        </is>
      </c>
      <c r="I77" s="48" t="inlineStr">
        <is>
          <t>2026-04-01</t>
        </is>
      </c>
      <c r="J77" s="48" t="inlineStr">
        <is>
          <t>2026-04-14</t>
        </is>
      </c>
      <c r="K77" s="48" t="inlineStr">
        <is>
          <t>未着手</t>
        </is>
      </c>
      <c r="L77" s="48" t="inlineStr">
        <is>
          <t>0%</t>
        </is>
      </c>
      <c r="M77" s="48" t="inlineStr">
        <is>
          <t>D</t>
        </is>
      </c>
      <c r="N77" s="48" t="inlineStr">
        <is>
          <t>オペマニュアル作成済み</t>
        </is>
      </c>
      <c r="O77" s="48" t="inlineStr">
        <is>
          <t>2026-03-24</t>
        </is>
      </c>
      <c r="P77" s="48" t="inlineStr">
        <is>
          <t>Phase 1</t>
        </is>
      </c>
    </row>
    <row r="78">
      <c r="A78" s="48" t="inlineStr">
        <is>
          <t>T-53</t>
        </is>
      </c>
      <c r="B78" s="48" t="inlineStr">
        <is>
          <t>品質</t>
        </is>
      </c>
      <c r="C78" s="48" t="inlineStr">
        <is>
          <t>掲載工務店の施工事例写真収集</t>
        </is>
      </c>
      <c r="D78" s="48" t="inlineStr">
        <is>
          <t>写真品質がCV率に直結</t>
        </is>
      </c>
      <c r="E78" s="48" t="inlineStr">
        <is>
          <t>掲載予定工務店に施工事例写真5-10枚の提供依頼</t>
        </is>
      </c>
      <c r="F78" s="48" t="inlineStr">
        <is>
          <t>施工事例写真セット/掲載許可書</t>
        </is>
      </c>
      <c r="G78" s="48" t="inlineStr">
        <is>
          <t>コンテンツ/営業</t>
        </is>
      </c>
      <c r="H78" s="48" t="inlineStr">
        <is>
          <t>高</t>
        </is>
      </c>
      <c r="I78" s="48" t="inlineStr">
        <is>
          <t>2026-04-07</t>
        </is>
      </c>
      <c r="J78" s="48" t="inlineStr">
        <is>
          <t>2026-05-15</t>
        </is>
      </c>
      <c r="K78" s="48" t="inlineStr">
        <is>
          <t>未着手</t>
        </is>
      </c>
      <c r="L78" s="48" t="inlineStr">
        <is>
          <t>0%</t>
        </is>
      </c>
      <c r="M78" s="48" t="inlineStr">
        <is>
          <t>D</t>
        </is>
      </c>
      <c r="N78" s="48" t="inlineStr">
        <is>
          <t>最低3社分確保</t>
        </is>
      </c>
      <c r="O78" s="48" t="inlineStr">
        <is>
          <t>2026-03-24</t>
        </is>
      </c>
      <c r="P78" s="48" t="inlineStr">
        <is>
          <t>Phase 1</t>
        </is>
      </c>
    </row>
    <row r="79">
      <c r="A79" s="48" t="inlineStr">
        <is>
          <t>T-54</t>
        </is>
      </c>
      <c r="B79" s="48" t="inlineStr">
        <is>
          <t>戦略</t>
        </is>
      </c>
      <c r="C79" s="48" t="inlineStr">
        <is>
          <t>競合分析レポート作成</t>
        </is>
      </c>
      <c r="D79" s="48" t="inlineStr">
        <is>
          <t>大手との差別化ポイント明確化</t>
        </is>
      </c>
      <c r="E79" s="48" t="inlineStr">
        <is>
          <t>主要競合5サービスの機能/価格/強み/弱み整理</t>
        </is>
      </c>
      <c r="F79" s="48" t="inlineStr">
        <is>
          <t>競合分析レポート</t>
        </is>
      </c>
      <c r="G79" s="48" t="inlineStr">
        <is>
          <t>経営/PM</t>
        </is>
      </c>
      <c r="H79" s="48" t="inlineStr">
        <is>
          <t>中</t>
        </is>
      </c>
      <c r="I79" s="48" t="inlineStr">
        <is>
          <t>2026-04-14</t>
        </is>
      </c>
      <c r="J79" s="48" t="inlineStr">
        <is>
          <t>2026-05-07</t>
        </is>
      </c>
      <c r="K79" s="48" t="inlineStr">
        <is>
          <t>未着手</t>
        </is>
      </c>
      <c r="L79" s="48" t="inlineStr">
        <is>
          <t>0%</t>
        </is>
      </c>
      <c r="M79" s="48" t="inlineStr">
        <is>
          <t>B</t>
        </is>
      </c>
      <c r="N79" s="48" t="inlineStr">
        <is>
          <t>営業提案の差別化根拠</t>
        </is>
      </c>
      <c r="O79" s="48" t="inlineStr">
        <is>
          <t>2026-03-24</t>
        </is>
      </c>
      <c r="P79" s="48" t="inlineStr">
        <is>
          <t>Phase 1</t>
        </is>
      </c>
    </row>
  </sheetData>
  <mergeCells count="9">
    <mergeCell ref="B59:P59"/>
    <mergeCell ref="A56:P56"/>
    <mergeCell ref="B60:P60"/>
    <mergeCell ref="B61:P61"/>
    <mergeCell ref="B57:P57"/>
    <mergeCell ref="A48:P48"/>
    <mergeCell ref="B58:P58"/>
    <mergeCell ref="A65:P65"/>
    <mergeCell ref="B62:P62"/>
  </mergeCells>
  <dataValidations count="2">
    <dataValidation sqref="K2:K60" showDropDown="0" showInputMessage="0" showErrorMessage="0" allowBlank="1" type="list">
      <formula1>"未着手,進行中,確認中,完了,保留"</formula1>
    </dataValidation>
    <dataValidation sqref="H2:H60" showDropDown="0" showInputMessage="0" showErrorMessage="0" allowBlank="1" type="list">
      <formula1>"高,中,低"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BDEFB"/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5" customWidth="1" min="4" max="4"/>
    <col width="35" customWidth="1" min="5" max="5"/>
    <col width="10" customWidth="1" min="6" max="6"/>
    <col width="10" customWidth="1" min="7" max="7"/>
    <col width="10" customWidth="1" min="8" max="8"/>
    <col width="8" customWidth="1" min="9" max="9"/>
    <col width="12" customWidth="1" min="10" max="10"/>
    <col width="20" customWidth="1" min="11" max="11"/>
  </cols>
  <sheetData>
    <row r="1">
      <c r="A1" s="4" t="inlineStr">
        <is>
          <t>追加日</t>
        </is>
      </c>
      <c r="B1" s="4" t="inlineStr">
        <is>
          <t>起票者</t>
        </is>
      </c>
      <c r="C1" s="4" t="inlineStr">
        <is>
          <t>カテゴリ</t>
        </is>
      </c>
      <c r="D1" s="4" t="inlineStr">
        <is>
          <t>タスク名</t>
        </is>
      </c>
      <c r="E1" s="4" t="inlineStr">
        <is>
          <t>背景/目的</t>
        </is>
      </c>
      <c r="F1" s="4" t="inlineStr">
        <is>
          <t>優先度(仮)</t>
        </is>
      </c>
      <c r="G1" s="4" t="inlineStr">
        <is>
          <t>希望期限</t>
        </is>
      </c>
      <c r="H1" s="4" t="inlineStr">
        <is>
          <t>担当(案)</t>
        </is>
      </c>
      <c r="I1" s="4" t="inlineStr">
        <is>
          <t>承認</t>
        </is>
      </c>
      <c r="J1" s="4" t="inlineStr">
        <is>
          <t>Todo一覧に反映</t>
        </is>
      </c>
      <c r="K1" s="4" t="inlineStr">
        <is>
          <t>備考</t>
        </is>
      </c>
    </row>
    <row r="2">
      <c r="A2" s="20" t="n"/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</row>
    <row r="3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</row>
    <row r="4">
      <c r="A4" s="20" t="n"/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</row>
    <row r="5">
      <c r="A5" s="20" t="n"/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</row>
    <row r="6">
      <c r="A6" s="20" t="n"/>
      <c r="B6" s="20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</row>
    <row r="7">
      <c r="A7" s="20" t="n"/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</row>
    <row r="8">
      <c r="A8" s="20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</row>
    <row r="9">
      <c r="A9" s="20" t="n"/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s="20" t="n"/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</row>
    <row r="11">
      <c r="A11" s="20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</row>
    <row r="12">
      <c r="A12" s="20" t="n"/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</row>
    <row r="13">
      <c r="A13" s="20" t="n"/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</row>
    <row r="14">
      <c r="A14" s="20" t="n"/>
      <c r="B14" s="20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</row>
    <row r="15">
      <c r="A15" s="20" t="n"/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</row>
    <row r="16">
      <c r="A16" s="20" t="n"/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8740C"/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15" customWidth="1" min="3" max="3"/>
  </cols>
  <sheetData>
    <row r="1">
      <c r="A1" s="1" t="inlineStr">
        <is>
          <t>事業管理 使い方ガイド</t>
        </is>
      </c>
    </row>
    <row r="2">
      <c r="A2" s="2" t="inlineStr">
        <is>
          <t>ぺいほーむ事業全体のタスク管理・進捗管理ファイルです。毎週のKPIミーティングとタスク確認に使用します。</t>
        </is>
      </c>
    </row>
    <row r="4">
      <c r="A4" s="21" t="inlineStr">
        <is>
          <t>シート名</t>
        </is>
      </c>
      <c r="B4" s="21" t="inlineStr">
        <is>
          <t>用途・使い方</t>
        </is>
      </c>
      <c r="C4" s="21" t="inlineStr">
        <is>
          <t>更新頻度</t>
        </is>
      </c>
    </row>
    <row r="5">
      <c r="A5" s="7" t="inlineStr">
        <is>
          <t>ダッシュボード</t>
        </is>
      </c>
      <c r="B5" s="5" t="inlineStr">
        <is>
          <t>全体の進捗サマリー。カテゴリ別の完了率が自動計算される。毎週月曜に確認</t>
        </is>
      </c>
      <c r="C5" s="5" t="inlineStr">
        <is>
          <t>週次</t>
        </is>
      </c>
    </row>
    <row r="6">
      <c r="A6" s="7" t="inlineStr">
        <is>
          <t>ガントチャート</t>
        </is>
      </c>
      <c r="B6" s="5" t="inlineStr">
        <is>
          <t>12週間のタスクスケジュール。オレンジバーが稼働週。ステータスと進捗%を毎週更新</t>
        </is>
      </c>
      <c r="C6" s="5" t="inlineStr">
        <is>
          <t>週次</t>
        </is>
      </c>
    </row>
    <row r="7">
      <c r="A7" s="7" t="inlineStr">
        <is>
          <t>担当別Todo</t>
        </is>
      </c>
      <c r="B7" s="5" t="inlineStr">
        <is>
          <t>経営/営業/PM/マーケ/コンテンツの担当ごとにタスクを確認。「次のアクション」列が最重要</t>
        </is>
      </c>
      <c r="C7" s="5" t="inlineStr">
        <is>
          <t>週次</t>
        </is>
      </c>
    </row>
    <row r="8">
      <c r="A8" s="7" t="inlineStr">
        <is>
          <t>Todo詳細</t>
        </is>
      </c>
      <c r="B8" s="5" t="inlineStr">
        <is>
          <t>全44タスクの詳細情報。追加Todoは下部の空行に追記可能（T-45以降）</t>
        </is>
      </c>
      <c r="C8" s="5" t="inlineStr">
        <is>
          <t>随時</t>
        </is>
      </c>
    </row>
    <row r="9">
      <c r="A9" s="7" t="inlineStr">
        <is>
          <t>追加Todo受付</t>
        </is>
      </c>
      <c r="B9" s="5" t="inlineStr">
        <is>
          <t>新しいTodoが発生したらここに起票→経営承認→Todo詳細に転記</t>
        </is>
      </c>
      <c r="C9" s="5" t="inlineStr">
        <is>
          <t>随時</t>
        </is>
      </c>
    </row>
    <row r="11">
      <c r="A11" s="3" t="inlineStr">
        <is>
          <t>関連ファイル</t>
        </is>
      </c>
    </row>
    <row r="12">
      <c r="A12" s="5" t="inlineStr">
        <is>
          <t>payhome_project_management.xlsx</t>
        </is>
      </c>
      <c r="B12" s="5" t="inlineStr">
        <is>
          <t>事業全体のTodo・ガントチャート・進捗管理</t>
        </is>
      </c>
    </row>
    <row r="13">
      <c r="A13" s="5" t="inlineStr">
        <is>
          <t>payhome_sales.xlsx</t>
        </is>
      </c>
      <c r="B13" s="5" t="inlineStr">
        <is>
          <t>営業提案フロー・メールDM・工務店ヒアリング・ペルソナ</t>
        </is>
      </c>
    </row>
    <row r="14">
      <c r="A14" s="5" t="inlineStr">
        <is>
          <t>payhome_content.xlsx</t>
        </is>
      </c>
      <c r="B14" s="5" t="inlineStr">
        <is>
          <t>コンテンツカレンダー・YouTube戦略・動画企画・掲載監査</t>
        </is>
      </c>
    </row>
    <row r="15">
      <c r="A15" s="5" t="inlineStr">
        <is>
          <t>payhome_finance_kpi.xlsx</t>
        </is>
      </c>
      <c r="B15" s="5" t="inlineStr">
        <is>
          <t>月次P/L・KPIレポート・請求・データ活用ロードマップ</t>
        </is>
      </c>
    </row>
    <row r="16">
      <c r="A16" s="5" t="inlineStr">
        <is>
          <t>payhome_sales_deck.pptx</t>
        </is>
      </c>
      <c r="B16" s="5" t="inlineStr">
        <is>
          <t>営業提案書（PowerPoint）</t>
        </is>
      </c>
    </row>
    <row r="17">
      <c r="A17" s="5" t="inlineStr">
        <is>
          <t>contract_template.docx</t>
        </is>
      </c>
      <c r="B17" s="5" t="inlineStr">
        <is>
          <t>契約書テンプレート（Word）</t>
        </is>
      </c>
    </row>
    <row r="18">
      <c r="A18" s="5" t="inlineStr">
        <is>
          <t>listing_standards.docx</t>
        </is>
      </c>
      <c r="B18" s="5" t="inlineStr">
        <is>
          <t>掲載基準書・品質管理ガイド（Word）</t>
        </is>
      </c>
    </row>
    <row r="19">
      <c r="A19" s="5" t="inlineStr">
        <is>
          <t>operations_manual.docx</t>
        </is>
      </c>
      <c r="B19" s="5" t="inlineStr">
        <is>
          <t>オペレーションマニュアル（Word）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2026-03-22T00:14:18Z</dcterms:created>
  <dcterms:modified xmlns:dcterms="http://purl.org/dc/terms/" xmlns:xsi="http://www.w3.org/2001/XMLSchema-instance" xsi:type="dcterms:W3CDTF">2026-04-10T10:03:14Z</dcterms:modified>
</cp:coreProperties>
</file>