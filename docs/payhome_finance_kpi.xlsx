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P_L" sheetId="1" state="visible" r:id="rId1"/>
    <sheet xmlns:r="http://schemas.openxmlformats.org/officeDocument/2006/relationships" name="週次KPIレポート" sheetId="2" state="visible" r:id="rId2"/>
    <sheet xmlns:r="http://schemas.openxmlformats.org/officeDocument/2006/relationships" name="月次レビュー" sheetId="3" state="visible" r:id="rId3"/>
    <sheet xmlns:r="http://schemas.openxmlformats.org/officeDocument/2006/relationships" name="データ活用ロードマップ" sheetId="4" state="visible" r:id="rId4"/>
    <sheet xmlns:r="http://schemas.openxmlformats.org/officeDocument/2006/relationships" name="請求テンプレート" sheetId="5" state="visible" r:id="rId5"/>
    <sheet xmlns:r="http://schemas.openxmlformats.org/officeDocument/2006/relationships" name="使い方ガイ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E8740C"/>
      <sz val="14"/>
    </font>
    <font>
      <name val="Arial"/>
      <b val="1"/>
      <sz val="18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874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項目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Q2合計</t>
        </is>
      </c>
      <c r="I1" s="1" t="inlineStr">
        <is>
          <t>備考</t>
        </is>
      </c>
    </row>
    <row r="2">
      <c r="A2" s="2" t="inlineStr">
        <is>
          <t>【売上】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YouTube広告収益</t>
        </is>
      </c>
      <c r="B3" s="3" t="n"/>
      <c r="C3" s="3" t="n"/>
      <c r="D3" s="3" t="n"/>
      <c r="E3" s="3" t="n"/>
      <c r="F3" s="3" t="n"/>
      <c r="G3" s="3" t="n"/>
      <c r="H3" s="3">
        <f>SUM(B3:G3)</f>
        <v/>
      </c>
      <c r="I3" s="3" t="inlineStr">
        <is>
          <t>YouTubeアナリティクスから</t>
        </is>
      </c>
    </row>
    <row r="4">
      <c r="A4" s="3" t="inlineStr">
        <is>
          <t>反響課金（リード送客）</t>
        </is>
      </c>
      <c r="B4" s="3" t="n"/>
      <c r="C4" s="3" t="n"/>
      <c r="D4" s="3" t="n"/>
      <c r="E4" s="3" t="n"/>
      <c r="F4" s="3" t="n"/>
      <c r="G4" s="3" t="n"/>
      <c r="H4" s="3">
        <f>SUM(B4:G4)</f>
        <v/>
      </c>
      <c r="I4" s="3" t="inlineStr">
        <is>
          <t>リード数×単価</t>
        </is>
      </c>
    </row>
    <row r="5">
      <c r="A5" s="3" t="inlineStr">
        <is>
          <t>掲載料（月額パートナー）</t>
        </is>
      </c>
      <c r="B5" s="3" t="n"/>
      <c r="C5" s="3" t="n"/>
      <c r="D5" s="3" t="n"/>
      <c r="E5" s="3" t="n"/>
      <c r="F5" s="3" t="n"/>
      <c r="G5" s="3" t="n"/>
      <c r="H5" s="3">
        <f>SUM(B5:G5)</f>
        <v/>
      </c>
      <c r="I5" s="3" t="inlineStr">
        <is>
          <t>パートナー数×月額</t>
        </is>
      </c>
    </row>
    <row r="6">
      <c r="A6" s="3" t="inlineStr">
        <is>
          <t>動画撮影費</t>
        </is>
      </c>
      <c r="B6" s="3" t="n"/>
      <c r="C6" s="3" t="n"/>
      <c r="D6" s="3" t="n"/>
      <c r="E6" s="3" t="n"/>
      <c r="F6" s="3" t="n"/>
      <c r="G6" s="3" t="n"/>
      <c r="H6" s="3">
        <f>SUM(B6:G6)</f>
        <v/>
      </c>
      <c r="I6" s="3" t="inlineStr">
        <is>
          <t>撮影本数×単価</t>
        </is>
      </c>
    </row>
    <row r="7">
      <c r="A7" s="3" t="inlineStr">
        <is>
          <t>SNS運用代行</t>
        </is>
      </c>
      <c r="B7" s="3" t="n"/>
      <c r="C7" s="3" t="n"/>
      <c r="D7" s="3" t="n"/>
      <c r="E7" s="3" t="n"/>
      <c r="F7" s="3" t="n"/>
      <c r="G7" s="3" t="n"/>
      <c r="H7" s="3">
        <f>SUM(B7:G7)</f>
        <v/>
      </c>
      <c r="I7" s="3" t="inlineStr">
        <is>
          <t>契約社数×月額</t>
        </is>
      </c>
    </row>
    <row r="8">
      <c r="A8" s="3" t="inlineStr">
        <is>
          <t>その他売上</t>
        </is>
      </c>
      <c r="B8" s="3" t="n"/>
      <c r="C8" s="3" t="n"/>
      <c r="D8" s="3" t="n"/>
      <c r="E8" s="3" t="n"/>
      <c r="F8" s="3" t="n"/>
      <c r="G8" s="3" t="n"/>
      <c r="H8" s="3">
        <f>SUM(B8:G8)</f>
        <v/>
      </c>
      <c r="I8" s="3" t="n"/>
    </row>
    <row r="9">
      <c r="A9" s="2" t="inlineStr">
        <is>
          <t>売上合計</t>
        </is>
      </c>
      <c r="B9" s="2">
        <f>SUM(B3:B8)</f>
        <v/>
      </c>
      <c r="C9" s="2">
        <f>SUM(C3:C8)</f>
        <v/>
      </c>
      <c r="D9" s="2">
        <f>SUM(D3:D8)</f>
        <v/>
      </c>
      <c r="E9" s="2">
        <f>SUM(E3:E8)</f>
        <v/>
      </c>
      <c r="F9" s="2">
        <f>SUM(F3:F8)</f>
        <v/>
      </c>
      <c r="G9" s="2">
        <f>SUM(G3:G8)</f>
        <v/>
      </c>
      <c r="H9" s="2">
        <f>SUM(B9:G9)</f>
        <v/>
      </c>
      <c r="I9" s="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inlineStr">
        <is>
          <t>【経費】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撮影・制作費</t>
        </is>
      </c>
      <c r="B12" s="3" t="n"/>
      <c r="C12" s="3" t="n"/>
      <c r="D12" s="3" t="n"/>
      <c r="E12" s="3" t="n"/>
      <c r="F12" s="3" t="n"/>
      <c r="G12" s="3" t="n"/>
      <c r="H12" s="3">
        <f>SUM(B12:G12)</f>
        <v/>
      </c>
      <c r="I12" s="3" t="inlineStr">
        <is>
          <t>外注・機材・交通費</t>
        </is>
      </c>
    </row>
    <row r="13">
      <c r="A13" s="3" t="inlineStr">
        <is>
          <t>ツール費（Supabase/Vercel等）</t>
        </is>
      </c>
      <c r="B13" s="3" t="n"/>
      <c r="C13" s="3" t="n"/>
      <c r="D13" s="3" t="n"/>
      <c r="E13" s="3" t="n"/>
      <c r="F13" s="3" t="n"/>
      <c r="G13" s="3" t="n"/>
      <c r="H13" s="3">
        <f>SUM(B13:G13)</f>
        <v/>
      </c>
      <c r="I13" s="3" t="inlineStr">
        <is>
          <t>月額固定</t>
        </is>
      </c>
    </row>
    <row r="14">
      <c r="A14" s="3" t="inlineStr">
        <is>
          <t>広告費（YouTube/SNS）</t>
        </is>
      </c>
      <c r="B14" s="3" t="n"/>
      <c r="C14" s="3" t="n"/>
      <c r="D14" s="3" t="n"/>
      <c r="E14" s="3" t="n"/>
      <c r="F14" s="3" t="n"/>
      <c r="G14" s="3" t="n"/>
      <c r="H14" s="3">
        <f>SUM(B14:G14)</f>
        <v/>
      </c>
      <c r="I14" s="3" t="n"/>
    </row>
    <row r="15">
      <c r="A15" s="3" t="inlineStr">
        <is>
          <t>人件費</t>
        </is>
      </c>
      <c r="B15" s="3" t="n"/>
      <c r="C15" s="3" t="n"/>
      <c r="D15" s="3" t="n"/>
      <c r="E15" s="3" t="n"/>
      <c r="F15" s="3" t="n"/>
      <c r="G15" s="3" t="n"/>
      <c r="H15" s="3">
        <f>SUM(B15:G15)</f>
        <v/>
      </c>
      <c r="I15" s="3" t="n"/>
    </row>
    <row r="16">
      <c r="A16" s="3" t="inlineStr">
        <is>
          <t>通信費・その他</t>
        </is>
      </c>
      <c r="B16" s="3" t="n"/>
      <c r="C16" s="3" t="n"/>
      <c r="D16" s="3" t="n"/>
      <c r="E16" s="3" t="n"/>
      <c r="F16" s="3" t="n"/>
      <c r="G16" s="3" t="n"/>
      <c r="H16" s="3">
        <f>SUM(B16:G16)</f>
        <v/>
      </c>
      <c r="I16" s="3" t="n"/>
    </row>
    <row r="17">
      <c r="A17" s="2" t="inlineStr">
        <is>
          <t>経費合計</t>
        </is>
      </c>
      <c r="B17" s="2">
        <f>SUM(B12:B16)</f>
        <v/>
      </c>
      <c r="C17" s="2">
        <f>SUM(C12:C16)</f>
        <v/>
      </c>
      <c r="D17" s="2">
        <f>SUM(D12:D16)</f>
        <v/>
      </c>
      <c r="E17" s="2">
        <f>SUM(E12:E16)</f>
        <v/>
      </c>
      <c r="F17" s="2">
        <f>SUM(F12:F16)</f>
        <v/>
      </c>
      <c r="G17" s="2">
        <f>SUM(G12:G16)</f>
        <v/>
      </c>
      <c r="H17" s="2">
        <f>SUM(B17:G17)</f>
        <v/>
      </c>
      <c r="I17" s="2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2" t="inlineStr">
        <is>
          <t>【損益】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営業利益</t>
        </is>
      </c>
      <c r="B20" s="2">
        <f>B9-B17</f>
        <v/>
      </c>
      <c r="C20" s="2">
        <f>C9-C17</f>
        <v/>
      </c>
      <c r="D20" s="2">
        <f>D9-D17</f>
        <v/>
      </c>
      <c r="E20" s="2">
        <f>E9-E17</f>
        <v/>
      </c>
      <c r="F20" s="2">
        <f>F9-F17</f>
        <v/>
      </c>
      <c r="G20" s="2">
        <f>G9-G17</f>
        <v/>
      </c>
      <c r="H20" s="2">
        <f>H9-H17</f>
        <v/>
      </c>
      <c r="I20" s="2" t="n"/>
    </row>
    <row r="21">
      <c r="A21" s="2" t="inlineStr">
        <is>
          <t>累計損益</t>
        </is>
      </c>
      <c r="B21" s="2">
        <f>B20</f>
        <v/>
      </c>
      <c r="C21" s="2">
        <f>B21+C20</f>
        <v/>
      </c>
      <c r="D21" s="2">
        <f>C21+D20</f>
        <v/>
      </c>
      <c r="E21" s="2">
        <f>D21+E20</f>
        <v/>
      </c>
      <c r="F21" s="2">
        <f>E21+F20</f>
        <v/>
      </c>
      <c r="G21" s="2">
        <f>F21+G20</f>
        <v/>
      </c>
      <c r="H21" s="2">
        <f>G21</f>
        <v/>
      </c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0C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4" t="inlineStr">
        <is>
          <t>ぺいほーむ 週次KPIレポート</t>
        </is>
      </c>
    </row>
    <row r="2">
      <c r="A2" s="5" t="inlineStr">
        <is>
          <t>対象期間:</t>
        </is>
      </c>
      <c r="B2" s="5" t="inlineStr">
        <is>
          <t>2026/○/○ 〜 2026/○/○</t>
        </is>
      </c>
    </row>
    <row r="3"/>
    <row r="4">
      <c r="A4" s="1" t="inlineStr">
        <is>
          <t>KPI</t>
        </is>
      </c>
      <c r="B4" s="1" t="inlineStr">
        <is>
          <t>今週</t>
        </is>
      </c>
      <c r="C4" s="1" t="inlineStr">
        <is>
          <t>先週</t>
        </is>
      </c>
      <c r="D4" s="1" t="inlineStr">
        <is>
          <t>増減</t>
        </is>
      </c>
      <c r="E4" s="1" t="inlineStr">
        <is>
          <t>目標</t>
        </is>
      </c>
      <c r="F4" s="1" t="inlineStr">
        <is>
          <t>達成率</t>
        </is>
      </c>
      <c r="G4" s="1" t="inlineStr">
        <is>
          <t>メモ</t>
        </is>
      </c>
    </row>
    <row r="5">
      <c r="A5" s="3" t="inlineStr">
        <is>
          <t>WebサイトPV</t>
        </is>
      </c>
      <c r="B5" s="3" t="n"/>
      <c r="C5" s="3" t="n"/>
      <c r="D5" s="3">
        <f>B5-C5</f>
        <v/>
      </c>
      <c r="E5" s="3" t="n"/>
      <c r="F5" s="3">
        <f>IF(E5=0,"",B5/E5)</f>
        <v/>
      </c>
      <c r="G5" s="3" t="n"/>
    </row>
    <row r="6">
      <c r="A6" s="3" t="inlineStr">
        <is>
          <t>YouTube週間視聴回数</t>
        </is>
      </c>
      <c r="B6" s="3" t="n"/>
      <c r="C6" s="3" t="n"/>
      <c r="D6" s="3">
        <f>B6-C6</f>
        <v/>
      </c>
      <c r="E6" s="3" t="n"/>
      <c r="F6" s="3">
        <f>IF(E6=0,"",B6/E6)</f>
        <v/>
      </c>
      <c r="G6" s="3" t="n"/>
    </row>
    <row r="7">
      <c r="A7" s="3" t="inlineStr">
        <is>
          <t>AI相談開始数</t>
        </is>
      </c>
      <c r="B7" s="3" t="n"/>
      <c r="C7" s="3" t="n"/>
      <c r="D7" s="3">
        <f>B7-C7</f>
        <v/>
      </c>
      <c r="E7" s="3" t="n"/>
      <c r="F7" s="3">
        <f>IF(E7=0,"",B7/E7)</f>
        <v/>
      </c>
      <c r="G7" s="3" t="n"/>
    </row>
    <row r="8">
      <c r="A8" s="3" t="inlineStr">
        <is>
          <t>新規リード数</t>
        </is>
      </c>
      <c r="B8" s="3" t="n"/>
      <c r="C8" s="3" t="n"/>
      <c r="D8" s="3">
        <f>B8-C8</f>
        <v/>
      </c>
      <c r="E8" s="3" t="n"/>
      <c r="F8" s="3">
        <f>IF(E8=0,"",B8/E8)</f>
        <v/>
      </c>
      <c r="G8" s="3" t="n"/>
    </row>
    <row r="9">
      <c r="A9" s="3" t="inlineStr">
        <is>
          <t>相談フォーム送信数</t>
        </is>
      </c>
      <c r="B9" s="3" t="n"/>
      <c r="C9" s="3" t="n"/>
      <c r="D9" s="3">
        <f>B9-C9</f>
        <v/>
      </c>
      <c r="E9" s="3" t="n"/>
      <c r="F9" s="3" t="n"/>
      <c r="G9" s="3" t="n"/>
    </row>
    <row r="10">
      <c r="A10" s="3" t="inlineStr">
        <is>
          <t>資料請求数</t>
        </is>
      </c>
      <c r="B10" s="3" t="n"/>
      <c r="C10" s="3" t="n"/>
      <c r="D10" s="3">
        <f>B10-C10</f>
        <v/>
      </c>
      <c r="E10" s="3" t="n"/>
      <c r="F10" s="3" t="n"/>
      <c r="G10" s="3" t="n"/>
    </row>
    <row r="11">
      <c r="A11" s="3" t="inlineStr">
        <is>
          <t>見学会予約数</t>
        </is>
      </c>
      <c r="B11" s="3" t="n"/>
      <c r="C11" s="3" t="n"/>
      <c r="D11" s="3">
        <f>B11-C11</f>
        <v/>
      </c>
      <c r="E11" s="3" t="n"/>
      <c r="F11" s="3" t="n"/>
      <c r="G11" s="3" t="n"/>
    </row>
    <row r="12">
      <c r="A12" s="3" t="inlineStr">
        <is>
          <t>お気に入り追加数</t>
        </is>
      </c>
      <c r="B12" s="3" t="n"/>
      <c r="C12" s="3" t="n"/>
      <c r="D12" s="3">
        <f>B12-C12</f>
        <v/>
      </c>
      <c r="E12" s="3" t="n"/>
      <c r="F12" s="3" t="n"/>
      <c r="G12" s="3" t="n"/>
    </row>
    <row r="13">
      <c r="A13" s="3" t="inlineStr">
        <is>
          <t>パートナー工務店数</t>
        </is>
      </c>
      <c r="B13" s="3" t="n"/>
      <c r="C13" s="3" t="n"/>
      <c r="D13" s="3">
        <f>B13-C13</f>
        <v/>
      </c>
      <c r="E13" s="3" t="n"/>
      <c r="F13" s="3" t="n"/>
      <c r="G13" s="3" t="n"/>
    </row>
    <row r="14">
      <c r="A14" s="3" t="inlineStr">
        <is>
          <t>メール営業 送信数</t>
        </is>
      </c>
      <c r="B14" s="3" t="n"/>
      <c r="C14" s="3" t="n"/>
      <c r="D14" s="3">
        <f>B14-C14</f>
        <v/>
      </c>
      <c r="E14" s="3" t="n"/>
      <c r="F14" s="3" t="n"/>
      <c r="G14" s="3" t="n"/>
    </row>
    <row r="15">
      <c r="A15" s="3" t="inlineStr">
        <is>
          <t>メール営業 返信数</t>
        </is>
      </c>
      <c r="B15" s="3" t="n"/>
      <c r="C15" s="3" t="n"/>
      <c r="D15" s="3">
        <f>B15-C15</f>
        <v/>
      </c>
      <c r="E15" s="3" t="n"/>
      <c r="F15" s="3" t="n"/>
      <c r="G15" s="3" t="n"/>
    </row>
    <row r="16"/>
    <row r="17">
      <c r="A17" s="6" t="inlineStr">
        <is>
          <t>今週のアクション振り返り</t>
        </is>
      </c>
    </row>
    <row r="18">
      <c r="A18" s="5" t="inlineStr">
        <is>
          <t xml:space="preserve">□ </t>
        </is>
      </c>
    </row>
    <row r="19">
      <c r="A19" s="5" t="inlineStr">
        <is>
          <t xml:space="preserve">□ </t>
        </is>
      </c>
    </row>
    <row r="20">
      <c r="A20" s="5" t="inlineStr">
        <is>
          <t xml:space="preserve">□ </t>
        </is>
      </c>
    </row>
    <row r="21"/>
    <row r="22">
      <c r="A22" s="6" t="inlineStr">
        <is>
          <t>来週のアクション</t>
        </is>
      </c>
    </row>
    <row r="23">
      <c r="A23" s="5" t="inlineStr">
        <is>
          <t xml:space="preserve">□ </t>
        </is>
      </c>
    </row>
    <row r="24">
      <c r="A24" s="5" t="inlineStr">
        <is>
          <t xml:space="preserve">□ </t>
        </is>
      </c>
    </row>
    <row r="25">
      <c r="A25" s="5" t="inlineStr">
        <is>
          <t xml:space="preserve">□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20" customWidth="1" min="5" max="5"/>
    <col width="35" customWidth="1" min="6" max="6"/>
  </cols>
  <sheetData>
    <row r="1">
      <c r="A1" s="4" t="inlineStr">
        <is>
          <t>ぺいほーむ 月次レビュー会議アジェンダ</t>
        </is>
      </c>
    </row>
    <row r="2">
      <c r="A2" s="5" t="inlineStr">
        <is>
          <t>開催日:</t>
        </is>
      </c>
      <c r="C2" s="5" t="inlineStr">
        <is>
          <t>参加者:</t>
        </is>
      </c>
    </row>
    <row r="3"/>
    <row r="4">
      <c r="A4" s="1" t="inlineStr">
        <is>
          <t>時間</t>
        </is>
      </c>
      <c r="B4" s="1" t="inlineStr">
        <is>
          <t>議題</t>
        </is>
      </c>
      <c r="C4" s="1" t="inlineStr">
        <is>
          <t>内容</t>
        </is>
      </c>
      <c r="D4" s="1" t="inlineStr">
        <is>
          <t>担当</t>
        </is>
      </c>
      <c r="E4" s="1" t="inlineStr">
        <is>
          <t>資料</t>
        </is>
      </c>
      <c r="F4" s="1" t="inlineStr">
        <is>
          <t>決定事項（会議中に記入）</t>
        </is>
      </c>
    </row>
    <row r="5">
      <c r="A5" s="3" t="inlineStr">
        <is>
          <t>5分</t>
        </is>
      </c>
      <c r="B5" s="3" t="inlineStr">
        <is>
          <t>先月の振り返り</t>
        </is>
      </c>
      <c r="C5" s="3" t="inlineStr">
        <is>
          <t>先月のアクション実施状況の確認</t>
        </is>
      </c>
      <c r="D5" s="3" t="inlineStr">
        <is>
          <t>全員</t>
        </is>
      </c>
      <c r="E5" s="3" t="inlineStr">
        <is>
          <t>前回議事録</t>
        </is>
      </c>
      <c r="F5" s="3" t="n"/>
    </row>
    <row r="6">
      <c r="A6" s="3" t="inlineStr">
        <is>
          <t>10分</t>
        </is>
      </c>
      <c r="B6" s="3" t="inlineStr">
        <is>
          <t>KPIレビュー</t>
        </is>
      </c>
      <c r="C6" s="3" t="inlineStr">
        <is>
          <t>月次KPI実績と目標比較。傾向分析</t>
        </is>
      </c>
      <c r="D6" s="3" t="inlineStr">
        <is>
          <t>PM</t>
        </is>
      </c>
      <c r="E6" s="3" t="inlineStr">
        <is>
          <t>KPI一覧シート</t>
        </is>
      </c>
      <c r="F6" s="3" t="n"/>
    </row>
    <row r="7">
      <c r="A7" s="3" t="inlineStr">
        <is>
          <t>10分</t>
        </is>
      </c>
      <c r="B7" s="3" t="inlineStr">
        <is>
          <t>営業進捗</t>
        </is>
      </c>
      <c r="C7" s="3" t="inlineStr">
        <is>
          <t>パートナー営業の進捗。新規アプローチ結果。パイプライン状況</t>
        </is>
      </c>
      <c r="D7" s="3" t="inlineStr">
        <is>
          <t>営業</t>
        </is>
      </c>
      <c r="E7" s="3" t="inlineStr">
        <is>
          <t>メール営業管理シート</t>
        </is>
      </c>
      <c r="F7" s="3" t="n"/>
    </row>
    <row r="8">
      <c r="A8" s="3" t="inlineStr">
        <is>
          <t>10分</t>
        </is>
      </c>
      <c r="B8" s="3" t="inlineStr">
        <is>
          <t>コンテンツ進捗</t>
        </is>
      </c>
      <c r="C8" s="3" t="inlineStr">
        <is>
          <t>動画・記事の制作状況。再生数・PV。コンテンツカレンダーの進捗</t>
        </is>
      </c>
      <c r="D8" s="3" t="inlineStr">
        <is>
          <t>コンテンツ</t>
        </is>
      </c>
      <c r="E8" s="3" t="inlineStr">
        <is>
          <t>コンテンツカレンダー</t>
        </is>
      </c>
      <c r="F8" s="3" t="n"/>
    </row>
    <row r="9">
      <c r="A9" s="3" t="inlineStr">
        <is>
          <t>10分</t>
        </is>
      </c>
      <c r="B9" s="3" t="inlineStr">
        <is>
          <t>掲載品質</t>
        </is>
      </c>
      <c r="C9" s="3" t="inlineStr">
        <is>
          <t>監査の進捗。リライト状況。工務店情報の更新状況</t>
        </is>
      </c>
      <c r="D9" s="3" t="inlineStr">
        <is>
          <t>コンテンツ</t>
        </is>
      </c>
      <c r="E9" s="3" t="inlineStr">
        <is>
          <t>掲載内容監査シート</t>
        </is>
      </c>
      <c r="F9" s="3" t="n"/>
    </row>
    <row r="10">
      <c r="A10" s="3" t="inlineStr">
        <is>
          <t>10分</t>
        </is>
      </c>
      <c r="B10" s="3" t="inlineStr">
        <is>
          <t>来月の計画</t>
        </is>
      </c>
      <c r="C10" s="3" t="inlineStr">
        <is>
          <t>来月の優先Todo確認。目標設定。リソース配分</t>
        </is>
      </c>
      <c r="D10" s="3" t="inlineStr">
        <is>
          <t>経営</t>
        </is>
      </c>
      <c r="E10" s="3" t="inlineStr">
        <is>
          <t>ガントチャート</t>
        </is>
      </c>
      <c r="F10" s="3" t="n"/>
    </row>
    <row r="11">
      <c r="A11" s="3" t="inlineStr">
        <is>
          <t>5分</t>
        </is>
      </c>
      <c r="B11" s="3" t="inlineStr">
        <is>
          <t>課題・懸念事項</t>
        </is>
      </c>
      <c r="C11" s="3" t="inlineStr">
        <is>
          <t>解決が必要な問題の共有と対応方針の決定</t>
        </is>
      </c>
      <c r="D11" s="3" t="inlineStr">
        <is>
          <t>全員</t>
        </is>
      </c>
      <c r="E11" s="3" t="n"/>
      <c r="F1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DEFB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四半期</t>
        </is>
      </c>
      <c r="B1" s="1" t="inlineStr">
        <is>
          <t>テーマ</t>
        </is>
      </c>
      <c r="C1" s="1" t="inlineStr">
        <is>
          <t>取得するデータ</t>
        </is>
      </c>
      <c r="D1" s="1" t="inlineStr">
        <is>
          <t>活用方法</t>
        </is>
      </c>
      <c r="E1" s="1" t="inlineStr">
        <is>
          <t>事業側で決めること</t>
        </is>
      </c>
      <c r="F1" s="1" t="inlineStr">
        <is>
          <t>エンジニアに依頼すること</t>
        </is>
      </c>
      <c r="G1" s="1" t="inlineStr">
        <is>
          <t>成果イメージ</t>
        </is>
      </c>
    </row>
    <row r="2" ht="100" customHeight="1">
      <c r="A2" s="3" t="inlineStr">
        <is>
          <t>Q2 2026
(4-6月)</t>
        </is>
      </c>
      <c r="B2" s="3" t="inlineStr">
        <is>
          <t>データを貯める</t>
        </is>
      </c>
      <c r="C2" s="3" t="inlineStr">
        <is>
          <t>ページ閲覧/動画視聴/チャットログ/お気に入り/リード流入元</t>
        </is>
      </c>
      <c r="D2" s="3" t="inlineStr">
        <is>
          <t>月次レポートで傾向を把握。「どの動画からCVが多いか」を分析</t>
        </is>
      </c>
      <c r="E2" s="3" t="inlineStr">
        <is>
          <t>KPIの優先順位/レポートの形式/確認頻度</t>
        </is>
      </c>
      <c r="F2" s="3" t="inlineStr">
        <is>
          <t>GA4カスタムイベント設定/レポート自動化</t>
        </is>
      </c>
      <c r="G2" s="3" t="inlineStr">
        <is>
          <t>月次データレポート第1号</t>
        </is>
      </c>
    </row>
    <row r="3" ht="100" customHeight="1">
      <c r="A3" s="3" t="inlineStr">
        <is>
          <t>Q3 2026
(7-9月)</t>
        </is>
      </c>
      <c r="B3" s="3" t="inlineStr">
        <is>
          <t>データを使い始める</t>
        </is>
      </c>
      <c r="C3" s="3" t="inlineStr">
        <is>
          <t>ユーザープロフィール/チャット意向抽出/閲覧傾向</t>
        </is>
      </c>
      <c r="D3" s="3" t="inlineStr">
        <is>
          <t>AIチャットの回答にデータを反映。「この人に合いそうな工務店」の推薦ロジック初期版</t>
        </is>
      </c>
      <c r="E3" s="3" t="inlineStr">
        <is>
          <t>推薦の基準（何を重視するか）/工務店の構造化データ入力</t>
        </is>
      </c>
      <c r="F3" s="3" t="inlineStr">
        <is>
          <t>推薦ロジック実装/意向抽出API</t>
        </is>
      </c>
      <c r="G3" s="3" t="inlineStr">
        <is>
          <t>AI推薦初期版のテスト</t>
        </is>
      </c>
    </row>
    <row r="4" ht="100" customHeight="1">
      <c r="A4" s="3" t="inlineStr">
        <is>
          <t>Q4 2026
(10-12月)</t>
        </is>
      </c>
      <c r="B4" s="3" t="inlineStr">
        <is>
          <t>データで提案する</t>
        </is>
      </c>
      <c r="C4" s="3" t="inlineStr">
        <is>
          <t>意向データ付きリード/行動スコアリング/成約データ</t>
        </is>
      </c>
      <c r="D4" s="3" t="inlineStr">
        <is>
          <t>工務店に「この人は○○に関心があり、温度感は高い」と伝える。商談前要約の初期版</t>
        </is>
      </c>
      <c r="E4" s="3" t="inlineStr">
        <is>
          <t>リードの価格設定（データ付きリード=高単価）/工務店へのレポート内容</t>
        </is>
      </c>
      <c r="F4" s="3" t="inlineStr">
        <is>
          <t>商談前要約生成/スコアリングUI</t>
        </is>
      </c>
      <c r="G4" s="3" t="inlineStr">
        <is>
          <t>意向データ付きリードの初回提供</t>
        </is>
      </c>
    </row>
    <row r="5" ht="100" customHeight="1">
      <c r="A5" s="3" t="inlineStr">
        <is>
          <t>2027年
Q1以降</t>
        </is>
      </c>
      <c r="B5" s="3" t="inlineStr">
        <is>
          <t>AIが進化する</t>
        </is>
      </c>
      <c r="C5" s="3" t="inlineStr">
        <is>
          <t>全データの統合分析/成約パターン/next best action</t>
        </is>
      </c>
      <c r="D5" s="3" t="inlineStr">
        <is>
          <t>AI住宅コンシェルジュ本格稼働。営業支援SaaSの初期版</t>
        </is>
      </c>
      <c r="E5" s="3" t="inlineStr">
        <is>
          <t>SaaS化の価格/ターゲット/営業戦略</t>
        </is>
      </c>
      <c r="F5" s="3" t="inlineStr">
        <is>
          <t>AIコンシェルジュ高度化/SaaS UI</t>
        </is>
      </c>
      <c r="G5" s="3" t="inlineStr">
        <is>
          <t>AI営業支援の初期リリース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40C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7" t="inlineStr">
        <is>
          <t>請求書</t>
        </is>
      </c>
    </row>
    <row r="2"/>
    <row r="3">
      <c r="A3" s="6" t="inlineStr">
        <is>
          <t>請求先:</t>
        </is>
      </c>
      <c r="B3" s="5" t="inlineStr">
        <is>
          <t>○○工務店 御中</t>
        </is>
      </c>
      <c r="E3" s="6" t="inlineStr">
        <is>
          <t>株式会社wazeka</t>
        </is>
      </c>
    </row>
    <row r="4">
      <c r="A4" s="6" t="inlineStr">
        <is>
          <t>請求日:</t>
        </is>
      </c>
      <c r="B4" s="5" t="inlineStr">
        <is>
          <t>2026年○月○日</t>
        </is>
      </c>
      <c r="E4" s="5" t="inlineStr">
        <is>
          <t>鹿児島県鹿児島市○○</t>
        </is>
      </c>
    </row>
    <row r="5">
      <c r="A5" s="6" t="inlineStr">
        <is>
          <t>お支払期限:</t>
        </is>
      </c>
      <c r="B5" s="5" t="inlineStr">
        <is>
          <t>2026年○月末日</t>
        </is>
      </c>
      <c r="E5" s="5" t="inlineStr">
        <is>
          <t>TEL: xxx-xxxx-xxxx</t>
        </is>
      </c>
    </row>
    <row r="6">
      <c r="E6" s="5" t="inlineStr">
        <is>
          <t>登録番号: T○○○○○○○○○○○○○</t>
        </is>
      </c>
    </row>
    <row r="7"/>
    <row r="8">
      <c r="A8" s="1" t="inlineStr">
        <is>
          <t>No.</t>
        </is>
      </c>
      <c r="B8" s="1" t="inlineStr">
        <is>
          <t>品目</t>
        </is>
      </c>
      <c r="C8" s="1" t="inlineStr">
        <is>
          <t>数量</t>
        </is>
      </c>
      <c r="D8" s="1" t="inlineStr">
        <is>
          <t>単価</t>
        </is>
      </c>
      <c r="E8" s="1" t="inlineStr">
        <is>
          <t>金額</t>
        </is>
      </c>
      <c r="F8" s="1" t="inlineStr">
        <is>
          <t>備考</t>
        </is>
      </c>
    </row>
    <row r="9">
      <c r="A9" s="3" t="n">
        <v>1</v>
      </c>
      <c r="B9" s="3" t="inlineStr">
        <is>
          <t>プラットフォーム掲載料（○月分）</t>
        </is>
      </c>
      <c r="C9" s="3" t="n">
        <v>1</v>
      </c>
      <c r="D9" s="3" t="n"/>
      <c r="E9" s="3">
        <f>C9*D9</f>
        <v/>
      </c>
      <c r="F9" s="3" t="inlineStr">
        <is>
          <t>スタンダードプラン</t>
        </is>
      </c>
    </row>
    <row r="10">
      <c r="A10" s="3" t="n">
        <v>2</v>
      </c>
      <c r="B10" s="3" t="inlineStr">
        <is>
          <t>ルームツアー動画撮影・制作</t>
        </is>
      </c>
      <c r="C10" s="3" t="n">
        <v>0</v>
      </c>
      <c r="D10" s="3" t="n"/>
      <c r="E10" s="3">
        <f>C10*D10</f>
        <v/>
      </c>
      <c r="F10" s="3" t="n"/>
    </row>
    <row r="11">
      <c r="A11" s="3" t="n">
        <v>3</v>
      </c>
      <c r="B11" s="3" t="inlineStr">
        <is>
          <t>リード送客費（○件×○円）</t>
        </is>
      </c>
      <c r="C11" s="3" t="n">
        <v>0</v>
      </c>
      <c r="D11" s="3" t="n"/>
      <c r="E11" s="3">
        <f>C11*D11</f>
        <v/>
      </c>
      <c r="F11" s="3" t="n"/>
    </row>
    <row r="12">
      <c r="A12" s="3" t="n"/>
      <c r="B12" s="3" t="n"/>
      <c r="C12" s="3" t="n"/>
      <c r="D12" s="3" t="inlineStr">
        <is>
          <t>小計</t>
        </is>
      </c>
      <c r="E12" s="3">
        <f>SUM(E9:E11)</f>
        <v/>
      </c>
      <c r="F12" s="3" t="n"/>
    </row>
    <row r="13">
      <c r="A13" s="3" t="n"/>
      <c r="B13" s="3" t="n"/>
      <c r="C13" s="3" t="n"/>
      <c r="D13" s="3" t="inlineStr">
        <is>
          <t>消費税（10%）</t>
        </is>
      </c>
      <c r="E13" s="3">
        <f>E12*0.1</f>
        <v/>
      </c>
      <c r="F13" s="3" t="n"/>
    </row>
    <row r="14">
      <c r="A14" s="3" t="n"/>
      <c r="B14" s="3" t="n"/>
      <c r="C14" s="3" t="n"/>
      <c r="D14" s="3" t="inlineStr">
        <is>
          <t>合計</t>
        </is>
      </c>
      <c r="E14" s="3">
        <f>E12+E13</f>
        <v/>
      </c>
      <c r="F14" s="3" t="n"/>
    </row>
    <row r="15"/>
    <row r="16">
      <c r="A16" s="6" t="inlineStr">
        <is>
          <t>お振込先</t>
        </is>
      </c>
    </row>
    <row r="17">
      <c r="A17" s="5" t="inlineStr">
        <is>
          <t>○○銀行 ○○支店 普通 ○○○○○○○ カ）ワゼカ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経営管理 使い方ガイド</t>
        </is>
      </c>
    </row>
    <row r="2">
      <c r="A2" s="5" t="inlineStr">
        <is>
          <t>売上・経費・KPI・請求の管理ファイルです。月次の経営判断とデータ活用戦略の意思決定に使用します。</t>
        </is>
      </c>
    </row>
    <row r="4">
      <c r="A4" s="8" t="inlineStr">
        <is>
          <t>シート名</t>
        </is>
      </c>
      <c r="B4" s="8" t="inlineStr">
        <is>
          <t>用途・使い方</t>
        </is>
      </c>
      <c r="C4" s="8" t="inlineStr">
        <is>
          <t>更新頻度</t>
        </is>
      </c>
    </row>
    <row r="5">
      <c r="A5" s="2" t="inlineStr">
        <is>
          <t>月次P_L</t>
        </is>
      </c>
      <c r="B5" s="3" t="inlineStr">
        <is>
          <t>月次の損益計算。売上6項目/経費5項目/営業利益/累計損益を管理。数式で自動計算</t>
        </is>
      </c>
      <c r="C5" s="3" t="inlineStr">
        <is>
          <t>月次</t>
        </is>
      </c>
    </row>
    <row r="6">
      <c r="A6" s="2" t="inlineStr">
        <is>
          <t>週次KPIレポート</t>
        </is>
      </c>
      <c r="B6" s="3" t="inlineStr">
        <is>
          <t>毎週月曜のKPI確認用。11項目のKPIを先週比で追跡。アクション振り返り・来週計画を記入</t>
        </is>
      </c>
      <c r="C6" s="3" t="inlineStr">
        <is>
          <t>週次</t>
        </is>
      </c>
    </row>
    <row r="7">
      <c r="A7" s="2" t="inlineStr">
        <is>
          <t>月次レビュー</t>
        </is>
      </c>
      <c r="B7" s="3" t="inlineStr">
        <is>
          <t>月次レビュー会議のアジェンダ。7議題×60分の定型フォーマット</t>
        </is>
      </c>
      <c r="C7" s="3" t="inlineStr">
        <is>
          <t>月次</t>
        </is>
      </c>
    </row>
    <row r="8">
      <c r="A8" s="2" t="inlineStr">
        <is>
          <t>データ活用ロードマップ</t>
        </is>
      </c>
      <c r="B8" s="3" t="inlineStr">
        <is>
          <t>四半期ごとのデータ活用計画。Q2-Q4+2027年の取得データ/活用方法/意思決定事項</t>
        </is>
      </c>
      <c r="C8" s="3" t="inlineStr">
        <is>
          <t>四半期</t>
        </is>
      </c>
    </row>
    <row r="9">
      <c r="A9" s="2" t="inlineStr">
        <is>
          <t>請求テンプレート</t>
        </is>
      </c>
      <c r="B9" s="3" t="inlineStr">
        <is>
          <t>工務店への請求書テンプレート。品目/数量/単価/合計の自動計算</t>
        </is>
      </c>
      <c r="C9" s="3" t="inlineStr">
        <is>
          <t>請求時</t>
        </is>
      </c>
    </row>
    <row r="11">
      <c r="A11" s="9" t="inlineStr">
        <is>
          <t>関連ファイル</t>
        </is>
      </c>
    </row>
    <row r="12">
      <c r="A12" s="3" t="inlineStr">
        <is>
          <t>payhome_project_management.xlsx</t>
        </is>
      </c>
      <c r="B12" s="3" t="inlineStr">
        <is>
          <t>事業全体のTodo・ガントチャート・進捗管理</t>
        </is>
      </c>
    </row>
    <row r="13">
      <c r="A13" s="3" t="inlineStr">
        <is>
          <t>payhome_sales.xlsx</t>
        </is>
      </c>
      <c r="B13" s="3" t="inlineStr">
        <is>
          <t>営業提案フロー・メールDM・工務店ヒアリング・ペルソナ</t>
        </is>
      </c>
    </row>
    <row r="14">
      <c r="A14" s="3" t="inlineStr">
        <is>
          <t>payhome_content.xlsx</t>
        </is>
      </c>
      <c r="B14" s="3" t="inlineStr">
        <is>
          <t>コンテンツカレンダー・YouTube戦略・動画企画・掲載監査</t>
        </is>
      </c>
    </row>
    <row r="15">
      <c r="A15" s="3" t="inlineStr">
        <is>
          <t>payhome_finance_kpi.xlsx</t>
        </is>
      </c>
      <c r="B15" s="3" t="inlineStr">
        <is>
          <t>月次P/L・KPIレポート・請求・データ活用ロードマップ</t>
        </is>
      </c>
    </row>
    <row r="16">
      <c r="A16" s="3" t="inlineStr">
        <is>
          <t>payhome_sales_deck.pptx</t>
        </is>
      </c>
      <c r="B16" s="3" t="inlineStr">
        <is>
          <t>営業提案書（PowerPoint）</t>
        </is>
      </c>
    </row>
    <row r="17">
      <c r="A17" s="3" t="inlineStr">
        <is>
          <t>contract_template.docx</t>
        </is>
      </c>
      <c r="B17" s="3" t="inlineStr">
        <is>
          <t>契約書テンプレート（Word）</t>
        </is>
      </c>
    </row>
    <row r="18">
      <c r="A18" s="3" t="inlineStr">
        <is>
          <t>listing_standards.docx</t>
        </is>
      </c>
      <c r="B18" s="3" t="inlineStr">
        <is>
          <t>掲載基準書・品質管理ガイド（Word）</t>
        </is>
      </c>
    </row>
    <row r="19">
      <c r="A19" s="3" t="inlineStr">
        <is>
          <t>operations_manual.docx</t>
        </is>
      </c>
      <c r="B19" s="3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2026-03-22T00:14:19Z</dcterms:modified>
</cp:coreProperties>
</file>