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請求管理" sheetId="1" state="visible" r:id="rId1"/>
    <sheet xmlns:r="http://schemas.openxmlformats.org/officeDocument/2006/relationships" name="月次P_L" sheetId="2" state="visible" r:id="rId2"/>
    <sheet xmlns:r="http://schemas.openxmlformats.org/officeDocument/2006/relationships" name="週次KPIレポート" sheetId="3" state="visible" r:id="rId3"/>
    <sheet xmlns:r="http://schemas.openxmlformats.org/officeDocument/2006/relationships" name="月次レビュー" sheetId="4" state="visible" r:id="rId4"/>
    <sheet xmlns:r="http://schemas.openxmlformats.org/officeDocument/2006/relationships" name="データ活用ロードマップ" sheetId="5" state="visible" r:id="rId5"/>
    <sheet xmlns:r="http://schemas.openxmlformats.org/officeDocument/2006/relationships" name="使い方ガイド" sheetId="6" state="visible" r:id="rId6"/>
    <sheet xmlns:r="http://schemas.openxmlformats.org/officeDocument/2006/relationships" name="1億円逆算ダッシュボード" sheetId="7" state="visible" r:id="rId7"/>
    <sheet xmlns:r="http://schemas.openxmlformats.org/officeDocument/2006/relationships" name="消費者ファネル管理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11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b val="1"/>
      <sz val="9"/>
    </font>
    <font>
      <name val="Arial"/>
      <sz val="9"/>
    </font>
    <font>
      <name val="Arial"/>
      <b val="1"/>
      <color rgb="00E8740C"/>
      <sz val="14"/>
    </font>
    <font>
      <name val="Arial"/>
      <b val="1"/>
      <sz val="18"/>
    </font>
    <font>
      <name val="Arial"/>
      <b val="1"/>
      <sz val="12"/>
    </font>
    <font>
      <name val="Arial"/>
      <color rgb="00888888"/>
      <sz val="9"/>
    </font>
    <font>
      <name val="Arial"/>
      <b val="1"/>
      <color rgb="002E4057"/>
      <sz val="14"/>
    </font>
    <font>
      <name val="Arial"/>
      <b val="1"/>
      <color rgb="00E8740C"/>
      <sz val="12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E8740C"/>
      </patternFill>
    </fill>
    <fill>
      <patternFill patternType="solid">
        <fgColor rgb="003D2200"/>
      </patternFill>
    </fill>
    <fill>
      <patternFill patternType="solid">
        <fgColor rgb="002E4057"/>
        <bgColor rgb="002E4057"/>
      </patternFill>
    </fill>
    <fill>
      <patternFill patternType="solid">
        <fgColor rgb="00F8F9FA"/>
        <bgColor rgb="00F8F9FA"/>
      </patternFill>
    </fill>
    <fill>
      <patternFill patternType="solid">
        <fgColor rgb="00E8740C"/>
        <bgColor rgb="00E8740C"/>
      </patternFill>
    </fill>
  </fills>
  <borders count="3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  <border>
      <left style="thin">
        <color rgb="00D5D8DC"/>
      </left>
      <right style="thin">
        <color rgb="00D5D8DC"/>
      </right>
      <top style="thin">
        <color rgb="00D5D8DC"/>
      </top>
      <bottom style="thin">
        <color rgb="00D5D8DC"/>
      </bottom>
    </border>
  </borders>
  <cellStyleXfs count="1">
    <xf numFmtId="0" fontId="0" fillId="0" borderId="0"/>
  </cellStyleXfs>
  <cellXfs count="26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vertical="top" wrapText="1"/>
    </xf>
    <xf numFmtId="0" fontId="3" fillId="0" borderId="1" applyAlignment="1" pivotButton="0" quotePrefix="0" xfId="0">
      <alignment vertical="top" wrapText="1"/>
    </xf>
    <xf numFmtId="0" fontId="4" fillId="0" borderId="0" pivotButton="0" quotePrefix="0" xfId="0"/>
    <xf numFmtId="0" fontId="3" fillId="0" borderId="0" pivotButton="0" quotePrefix="0" xfId="0"/>
    <xf numFmtId="0" fontId="2" fillId="0" borderId="0" pivotButton="0" quotePrefix="0" xfId="0"/>
    <xf numFmtId="0" fontId="5" fillId="0" borderId="0" pivotButton="0" quotePrefix="0" xfId="0"/>
    <xf numFmtId="0" fontId="1" fillId="2" borderId="1" pivotButton="0" quotePrefix="0" xfId="0"/>
    <xf numFmtId="0" fontId="6" fillId="0" borderId="0" pivotButton="0" quotePrefix="0" xfId="0"/>
    <xf numFmtId="0" fontId="7" fillId="0" borderId="0" pivotButton="0" quotePrefix="0" xfId="0"/>
    <xf numFmtId="3" fontId="3" fillId="0" borderId="1" applyAlignment="1" pivotButton="0" quotePrefix="0" xfId="0">
      <alignment vertical="top" wrapText="1"/>
    </xf>
    <xf numFmtId="0" fontId="3" fillId="0" borderId="1" pivotButton="0" quotePrefix="0" xfId="0"/>
    <xf numFmtId="3" fontId="3" fillId="0" borderId="1" pivotButton="0" quotePrefix="0" xfId="0"/>
    <xf numFmtId="0" fontId="1" fillId="3" borderId="0" pivotButton="0" quotePrefix="0" xfId="0"/>
    <xf numFmtId="0" fontId="0" fillId="3" borderId="0" pivotButton="0" quotePrefix="0" xfId="0"/>
    <xf numFmtId="0" fontId="8" fillId="0" borderId="0" applyAlignment="1" pivotButton="0" quotePrefix="0" xfId="0">
      <alignment horizontal="center" vertical="center"/>
    </xf>
    <xf numFmtId="0" fontId="9" fillId="0" borderId="0" pivotButton="0" quotePrefix="0" xfId="0"/>
    <xf numFmtId="0" fontId="1" fillId="4" borderId="2" applyAlignment="1" pivotButton="0" quotePrefix="0" xfId="0">
      <alignment horizontal="center" vertical="center" wrapText="1"/>
    </xf>
    <xf numFmtId="0" fontId="10" fillId="0" borderId="2" applyAlignment="1" pivotButton="0" quotePrefix="0" xfId="0">
      <alignment vertical="center" wrapText="1"/>
    </xf>
    <xf numFmtId="0" fontId="10" fillId="5" borderId="2" applyAlignment="1" pivotButton="0" quotePrefix="0" xfId="0">
      <alignment vertical="center" wrapText="1"/>
    </xf>
    <xf numFmtId="0" fontId="1" fillId="6" borderId="2" applyAlignment="1" pivotButton="0" quotePrefix="0" xfId="0">
      <alignment horizontal="center" vertical="center"/>
    </xf>
    <xf numFmtId="164" fontId="10" fillId="0" borderId="2" applyAlignment="1" pivotButton="0" quotePrefix="0" xfId="0">
      <alignment vertical="center" wrapText="1"/>
    </xf>
    <xf numFmtId="164" fontId="10" fillId="5" borderId="2" applyAlignment="1" pivotButton="0" quotePrefix="0" xfId="0">
      <alignment vertical="center" wrapText="1"/>
    </xf>
    <xf numFmtId="3" fontId="10" fillId="0" borderId="2" applyAlignment="1" pivotButton="0" quotePrefix="0" xfId="0">
      <alignment vertical="center" wrapText="1"/>
    </xf>
    <xf numFmtId="3" fontId="10" fillId="5" borderId="2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E8740C"/>
    <outlinePr summaryBelow="1" summaryRight="1"/>
    <pageSetUpPr/>
  </sheetPr>
  <dimension ref="A1:S48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10" customWidth="1" min="2" max="2"/>
    <col width="18" customWidth="1" min="3" max="3"/>
    <col width="12" customWidth="1" min="4" max="4"/>
    <col width="22" customWidth="1" min="5" max="5"/>
    <col width="10" customWidth="1" min="6" max="6"/>
    <col width="10" customWidth="1" min="7" max="7"/>
    <col width="28" customWidth="1" min="8" max="8"/>
    <col width="5" customWidth="1" min="9" max="9"/>
    <col width="8" customWidth="1" min="10" max="10"/>
    <col width="12" customWidth="1" min="11" max="11"/>
    <col width="10" customWidth="1" min="12" max="12"/>
    <col width="12" customWidth="1" min="13" max="13"/>
    <col width="12" customWidth="1" min="14" max="14"/>
    <col width="8" customWidth="1" min="15" max="15"/>
    <col width="10" customWidth="1" min="16" max="16"/>
    <col width="10" customWidth="1" min="17" max="17"/>
    <col width="8" customWidth="1" min="18" max="18"/>
    <col width="16" customWidth="1" min="19" max="19"/>
  </cols>
  <sheetData>
    <row r="1">
      <c r="A1" s="4" t="inlineStr">
        <is>
          <t>ぺいほーむ 請求管理台帳</t>
        </is>
      </c>
    </row>
    <row r="2">
      <c r="A2" s="10" t="inlineStr">
        <is>
          <t>※ フリー会計で請求書を発行。本シートは経理部共有用の請求記録台帳です。</t>
        </is>
      </c>
    </row>
    <row r="4">
      <c r="A4" s="1" t="inlineStr">
        <is>
          <t>No.</t>
        </is>
      </c>
      <c r="B4" s="1" t="inlineStr">
        <is>
          <t>請求月</t>
        </is>
      </c>
      <c r="C4" s="1" t="inlineStr">
        <is>
          <t>企業名</t>
        </is>
      </c>
      <c r="D4" s="1" t="inlineStr">
        <is>
          <t>企業担当者名</t>
        </is>
      </c>
      <c r="E4" s="1" t="inlineStr">
        <is>
          <t>企業住所</t>
        </is>
      </c>
      <c r="F4" s="1" t="inlineStr">
        <is>
          <t>請求日</t>
        </is>
      </c>
      <c r="G4" s="1" t="inlineStr">
        <is>
          <t>支払期限</t>
        </is>
      </c>
      <c r="H4" s="1" t="inlineStr">
        <is>
          <t>品目</t>
        </is>
      </c>
      <c r="I4" s="1" t="inlineStr">
        <is>
          <t>数量</t>
        </is>
      </c>
      <c r="J4" s="1" t="inlineStr">
        <is>
          <t>単価</t>
        </is>
      </c>
      <c r="K4" s="1" t="inlineStr">
        <is>
          <t>金額（税抜）</t>
        </is>
      </c>
      <c r="L4" s="1" t="inlineStr">
        <is>
          <t>消費税</t>
        </is>
      </c>
      <c r="M4" s="1" t="inlineStr">
        <is>
          <t>合計（税込）</t>
        </is>
      </c>
      <c r="N4" s="1" t="inlineStr">
        <is>
          <t>フリー会計
請求書No.</t>
        </is>
      </c>
      <c r="O4" s="1" t="inlineStr">
        <is>
          <t>入金状況</t>
        </is>
      </c>
      <c r="P4" s="1" t="inlineStr">
        <is>
          <t>入金日</t>
        </is>
      </c>
      <c r="Q4" s="1" t="inlineStr">
        <is>
          <t>入金額</t>
        </is>
      </c>
      <c r="R4" s="1" t="inlineStr">
        <is>
          <t>差額</t>
        </is>
      </c>
      <c r="S4" s="1" t="inlineStr">
        <is>
          <t>備考</t>
        </is>
      </c>
    </row>
    <row r="5">
      <c r="A5" s="3" t="n">
        <v>1</v>
      </c>
      <c r="B5" s="3" t="inlineStr">
        <is>
          <t>2026年4月</t>
        </is>
      </c>
      <c r="C5" s="3" t="inlineStr">
        <is>
          <t>（工務店名）</t>
        </is>
      </c>
      <c r="D5" s="3" t="inlineStr">
        <is>
          <t>（担当者名）</t>
        </is>
      </c>
      <c r="E5" s="3" t="inlineStr">
        <is>
          <t>（住所）</t>
        </is>
      </c>
      <c r="F5" s="3" t="inlineStr"/>
      <c r="G5" s="3" t="inlineStr"/>
      <c r="H5" s="3" t="inlineStr">
        <is>
          <t>プラットフォーム掲載料（スタンダード）</t>
        </is>
      </c>
      <c r="I5" s="3" t="n">
        <v>1</v>
      </c>
      <c r="J5" s="11" t="n">
        <v>80000</v>
      </c>
      <c r="K5" s="11">
        <f>I5*J5</f>
        <v/>
      </c>
      <c r="L5" s="11">
        <f>K5*0.1</f>
        <v/>
      </c>
      <c r="M5" s="11">
        <f>K5+L5</f>
        <v/>
      </c>
      <c r="N5" s="3" t="inlineStr"/>
      <c r="O5" s="3" t="inlineStr">
        <is>
          <t>未請求</t>
        </is>
      </c>
      <c r="P5" s="3" t="inlineStr"/>
      <c r="Q5" s="11" t="inlineStr"/>
      <c r="R5" s="11">
        <f>M5-Q5</f>
        <v/>
      </c>
      <c r="S5" s="3" t="inlineStr"/>
    </row>
    <row r="6">
      <c r="A6" s="3" t="n">
        <v>2</v>
      </c>
      <c r="B6" s="3" t="inlineStr">
        <is>
          <t>2026年4月</t>
        </is>
      </c>
      <c r="C6" s="3" t="inlineStr">
        <is>
          <t>（工務店名）</t>
        </is>
      </c>
      <c r="D6" s="3" t="inlineStr">
        <is>
          <t>（担当者名）</t>
        </is>
      </c>
      <c r="E6" s="3" t="inlineStr">
        <is>
          <t>（住所）</t>
        </is>
      </c>
      <c r="F6" s="3" t="inlineStr"/>
      <c r="G6" s="3" t="inlineStr"/>
      <c r="H6" s="3" t="inlineStr">
        <is>
          <t>ルームツアー動画撮影・制作</t>
        </is>
      </c>
      <c r="I6" s="3" t="n">
        <v>1</v>
      </c>
      <c r="J6" s="11" t="n">
        <v>0</v>
      </c>
      <c r="K6" s="11">
        <f>I6*J6</f>
        <v/>
      </c>
      <c r="L6" s="11">
        <f>K6*0.1</f>
        <v/>
      </c>
      <c r="M6" s="11">
        <f>K6+L6</f>
        <v/>
      </c>
      <c r="N6" s="3" t="inlineStr"/>
      <c r="O6" s="3" t="inlineStr">
        <is>
          <t>未請求</t>
        </is>
      </c>
      <c r="P6" s="3" t="inlineStr"/>
      <c r="Q6" s="11" t="inlineStr"/>
      <c r="R6" s="11">
        <f>M6-Q6</f>
        <v/>
      </c>
      <c r="S6" s="3" t="inlineStr"/>
    </row>
    <row r="7">
      <c r="A7" s="3" t="n">
        <v>3</v>
      </c>
      <c r="B7" s="3" t="inlineStr">
        <is>
          <t>2026年4月</t>
        </is>
      </c>
      <c r="C7" s="3" t="inlineStr">
        <is>
          <t>（工務店名）</t>
        </is>
      </c>
      <c r="D7" s="3" t="inlineStr">
        <is>
          <t>（担当者名）</t>
        </is>
      </c>
      <c r="E7" s="3" t="inlineStr">
        <is>
          <t>（住所）</t>
        </is>
      </c>
      <c r="F7" s="3" t="inlineStr"/>
      <c r="G7" s="3" t="inlineStr"/>
      <c r="H7" s="3" t="inlineStr">
        <is>
          <t>リード送客費（反響課金）</t>
        </is>
      </c>
      <c r="I7" s="3" t="n">
        <v>0</v>
      </c>
      <c r="J7" s="11" t="n">
        <v>5000</v>
      </c>
      <c r="K7" s="11">
        <f>I7*J7</f>
        <v/>
      </c>
      <c r="L7" s="11">
        <f>K7*0.1</f>
        <v/>
      </c>
      <c r="M7" s="11">
        <f>K7+L7</f>
        <v/>
      </c>
      <c r="N7" s="3" t="inlineStr"/>
      <c r="O7" s="3" t="inlineStr">
        <is>
          <t>未請求</t>
        </is>
      </c>
      <c r="P7" s="3" t="inlineStr"/>
      <c r="Q7" s="11" t="inlineStr"/>
      <c r="R7" s="11">
        <f>M7-Q7</f>
        <v/>
      </c>
      <c r="S7" s="3" t="inlineStr"/>
    </row>
    <row r="8">
      <c r="A8" s="12" t="n">
        <v>4</v>
      </c>
      <c r="B8" s="12" t="n"/>
      <c r="C8" s="12" t="n"/>
      <c r="D8" s="12" t="n"/>
      <c r="E8" s="12" t="n"/>
      <c r="F8" s="12" t="n"/>
      <c r="G8" s="12" t="n"/>
      <c r="H8" s="12" t="n"/>
      <c r="I8" s="12" t="n"/>
      <c r="J8" s="13" t="n"/>
      <c r="K8" s="13">
        <f>I8*J8</f>
        <v/>
      </c>
      <c r="L8" s="13">
        <f>K8*0.1</f>
        <v/>
      </c>
      <c r="M8" s="13">
        <f>K8+L8</f>
        <v/>
      </c>
      <c r="N8" s="12" t="n"/>
      <c r="O8" s="12" t="n"/>
      <c r="P8" s="12" t="n"/>
      <c r="Q8" s="13" t="n"/>
      <c r="R8" s="13">
        <f>M8-Q8</f>
        <v/>
      </c>
      <c r="S8" s="12" t="n"/>
    </row>
    <row r="9">
      <c r="A9" s="12" t="n">
        <v>5</v>
      </c>
      <c r="B9" s="12" t="n"/>
      <c r="C9" s="12" t="n"/>
      <c r="D9" s="12" t="n"/>
      <c r="E9" s="12" t="n"/>
      <c r="F9" s="12" t="n"/>
      <c r="G9" s="12" t="n"/>
      <c r="H9" s="12" t="n"/>
      <c r="I9" s="12" t="n"/>
      <c r="J9" s="13" t="n"/>
      <c r="K9" s="13">
        <f>I9*J9</f>
        <v/>
      </c>
      <c r="L9" s="13">
        <f>K9*0.1</f>
        <v/>
      </c>
      <c r="M9" s="13">
        <f>K9+L9</f>
        <v/>
      </c>
      <c r="N9" s="12" t="n"/>
      <c r="O9" s="12" t="n"/>
      <c r="P9" s="12" t="n"/>
      <c r="Q9" s="13" t="n"/>
      <c r="R9" s="13">
        <f>M9-Q9</f>
        <v/>
      </c>
      <c r="S9" s="12" t="n"/>
    </row>
    <row r="10">
      <c r="A10" s="12" t="n">
        <v>6</v>
      </c>
      <c r="B10" s="12" t="n"/>
      <c r="C10" s="12" t="n"/>
      <c r="D10" s="12" t="n"/>
      <c r="E10" s="12" t="n"/>
      <c r="F10" s="12" t="n"/>
      <c r="G10" s="12" t="n"/>
      <c r="H10" s="12" t="n"/>
      <c r="I10" s="12" t="n"/>
      <c r="J10" s="13" t="n"/>
      <c r="K10" s="13">
        <f>I10*J10</f>
        <v/>
      </c>
      <c r="L10" s="13">
        <f>K10*0.1</f>
        <v/>
      </c>
      <c r="M10" s="13">
        <f>K10+L10</f>
        <v/>
      </c>
      <c r="N10" s="12" t="n"/>
      <c r="O10" s="12" t="n"/>
      <c r="P10" s="12" t="n"/>
      <c r="Q10" s="13" t="n"/>
      <c r="R10" s="13">
        <f>M10-Q10</f>
        <v/>
      </c>
      <c r="S10" s="12" t="n"/>
    </row>
    <row r="11">
      <c r="A11" s="12" t="n">
        <v>7</v>
      </c>
      <c r="B11" s="12" t="n"/>
      <c r="C11" s="12" t="n"/>
      <c r="D11" s="12" t="n"/>
      <c r="E11" s="12" t="n"/>
      <c r="F11" s="12" t="n"/>
      <c r="G11" s="12" t="n"/>
      <c r="H11" s="12" t="n"/>
      <c r="I11" s="12" t="n"/>
      <c r="J11" s="13" t="n"/>
      <c r="K11" s="13">
        <f>I11*J11</f>
        <v/>
      </c>
      <c r="L11" s="13">
        <f>K11*0.1</f>
        <v/>
      </c>
      <c r="M11" s="13">
        <f>K11+L11</f>
        <v/>
      </c>
      <c r="N11" s="12" t="n"/>
      <c r="O11" s="12" t="n"/>
      <c r="P11" s="12" t="n"/>
      <c r="Q11" s="13" t="n"/>
      <c r="R11" s="13">
        <f>M11-Q11</f>
        <v/>
      </c>
      <c r="S11" s="12" t="n"/>
    </row>
    <row r="12">
      <c r="A12" s="12" t="n">
        <v>8</v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3" t="n"/>
      <c r="K12" s="13">
        <f>I12*J12</f>
        <v/>
      </c>
      <c r="L12" s="13">
        <f>K12*0.1</f>
        <v/>
      </c>
      <c r="M12" s="13">
        <f>K12+L12</f>
        <v/>
      </c>
      <c r="N12" s="12" t="n"/>
      <c r="O12" s="12" t="n"/>
      <c r="P12" s="12" t="n"/>
      <c r="Q12" s="13" t="n"/>
      <c r="R12" s="13">
        <f>M12-Q12</f>
        <v/>
      </c>
      <c r="S12" s="12" t="n"/>
    </row>
    <row r="13">
      <c r="A13" s="12" t="n">
        <v>9</v>
      </c>
      <c r="B13" s="12" t="n"/>
      <c r="C13" s="12" t="n"/>
      <c r="D13" s="12" t="n"/>
      <c r="E13" s="12" t="n"/>
      <c r="F13" s="12" t="n"/>
      <c r="G13" s="12" t="n"/>
      <c r="H13" s="12" t="n"/>
      <c r="I13" s="12" t="n"/>
      <c r="J13" s="13" t="n"/>
      <c r="K13" s="13">
        <f>I13*J13</f>
        <v/>
      </c>
      <c r="L13" s="13">
        <f>K13*0.1</f>
        <v/>
      </c>
      <c r="M13" s="13">
        <f>K13+L13</f>
        <v/>
      </c>
      <c r="N13" s="12" t="n"/>
      <c r="O13" s="12" t="n"/>
      <c r="P13" s="12" t="n"/>
      <c r="Q13" s="13" t="n"/>
      <c r="R13" s="13">
        <f>M13-Q13</f>
        <v/>
      </c>
      <c r="S13" s="12" t="n"/>
    </row>
    <row r="14">
      <c r="A14" s="12" t="n">
        <v>10</v>
      </c>
      <c r="B14" s="12" t="n"/>
      <c r="C14" s="12" t="n"/>
      <c r="D14" s="12" t="n"/>
      <c r="E14" s="12" t="n"/>
      <c r="F14" s="12" t="n"/>
      <c r="G14" s="12" t="n"/>
      <c r="H14" s="12" t="n"/>
      <c r="I14" s="12" t="n"/>
      <c r="J14" s="13" t="n"/>
      <c r="K14" s="13">
        <f>I14*J14</f>
        <v/>
      </c>
      <c r="L14" s="13">
        <f>K14*0.1</f>
        <v/>
      </c>
      <c r="M14" s="13">
        <f>K14+L14</f>
        <v/>
      </c>
      <c r="N14" s="12" t="n"/>
      <c r="O14" s="12" t="n"/>
      <c r="P14" s="12" t="n"/>
      <c r="Q14" s="13" t="n"/>
      <c r="R14" s="13">
        <f>M14-Q14</f>
        <v/>
      </c>
      <c r="S14" s="12" t="n"/>
    </row>
    <row r="15">
      <c r="A15" s="12" t="n">
        <v>11</v>
      </c>
      <c r="B15" s="12" t="n"/>
      <c r="C15" s="12" t="n"/>
      <c r="D15" s="12" t="n"/>
      <c r="E15" s="12" t="n"/>
      <c r="F15" s="12" t="n"/>
      <c r="G15" s="12" t="n"/>
      <c r="H15" s="12" t="n"/>
      <c r="I15" s="12" t="n"/>
      <c r="J15" s="13" t="n"/>
      <c r="K15" s="13">
        <f>I15*J15</f>
        <v/>
      </c>
      <c r="L15" s="13">
        <f>K15*0.1</f>
        <v/>
      </c>
      <c r="M15" s="13">
        <f>K15+L15</f>
        <v/>
      </c>
      <c r="N15" s="12" t="n"/>
      <c r="O15" s="12" t="n"/>
      <c r="P15" s="12" t="n"/>
      <c r="Q15" s="13" t="n"/>
      <c r="R15" s="13">
        <f>M15-Q15</f>
        <v/>
      </c>
      <c r="S15" s="12" t="n"/>
    </row>
    <row r="16">
      <c r="A16" s="12" t="n">
        <v>12</v>
      </c>
      <c r="B16" s="12" t="n"/>
      <c r="C16" s="12" t="n"/>
      <c r="D16" s="12" t="n"/>
      <c r="E16" s="12" t="n"/>
      <c r="F16" s="12" t="n"/>
      <c r="G16" s="12" t="n"/>
      <c r="H16" s="12" t="n"/>
      <c r="I16" s="12" t="n"/>
      <c r="J16" s="13" t="n"/>
      <c r="K16" s="13">
        <f>I16*J16</f>
        <v/>
      </c>
      <c r="L16" s="13">
        <f>K16*0.1</f>
        <v/>
      </c>
      <c r="M16" s="13">
        <f>K16+L16</f>
        <v/>
      </c>
      <c r="N16" s="12" t="n"/>
      <c r="O16" s="12" t="n"/>
      <c r="P16" s="12" t="n"/>
      <c r="Q16" s="13" t="n"/>
      <c r="R16" s="13">
        <f>M16-Q16</f>
        <v/>
      </c>
      <c r="S16" s="12" t="n"/>
    </row>
    <row r="17">
      <c r="A17" s="12" t="n">
        <v>13</v>
      </c>
      <c r="B17" s="12" t="n"/>
      <c r="C17" s="12" t="n"/>
      <c r="D17" s="12" t="n"/>
      <c r="E17" s="12" t="n"/>
      <c r="F17" s="12" t="n"/>
      <c r="G17" s="12" t="n"/>
      <c r="H17" s="12" t="n"/>
      <c r="I17" s="12" t="n"/>
      <c r="J17" s="13" t="n"/>
      <c r="K17" s="13">
        <f>I17*J17</f>
        <v/>
      </c>
      <c r="L17" s="13">
        <f>K17*0.1</f>
        <v/>
      </c>
      <c r="M17" s="13">
        <f>K17+L17</f>
        <v/>
      </c>
      <c r="N17" s="12" t="n"/>
      <c r="O17" s="12" t="n"/>
      <c r="P17" s="12" t="n"/>
      <c r="Q17" s="13" t="n"/>
      <c r="R17" s="13">
        <f>M17-Q17</f>
        <v/>
      </c>
      <c r="S17" s="12" t="n"/>
    </row>
    <row r="18">
      <c r="A18" s="12" t="n">
        <v>14</v>
      </c>
      <c r="B18" s="12" t="n"/>
      <c r="C18" s="12" t="n"/>
      <c r="D18" s="12" t="n"/>
      <c r="E18" s="12" t="n"/>
      <c r="F18" s="12" t="n"/>
      <c r="G18" s="12" t="n"/>
      <c r="H18" s="12" t="n"/>
      <c r="I18" s="12" t="n"/>
      <c r="J18" s="13" t="n"/>
      <c r="K18" s="13">
        <f>I18*J18</f>
        <v/>
      </c>
      <c r="L18" s="13">
        <f>K18*0.1</f>
        <v/>
      </c>
      <c r="M18" s="13">
        <f>K18+L18</f>
        <v/>
      </c>
      <c r="N18" s="12" t="n"/>
      <c r="O18" s="12" t="n"/>
      <c r="P18" s="12" t="n"/>
      <c r="Q18" s="13" t="n"/>
      <c r="R18" s="13">
        <f>M18-Q18</f>
        <v/>
      </c>
      <c r="S18" s="12" t="n"/>
    </row>
    <row r="19">
      <c r="A19" s="12" t="n">
        <v>15</v>
      </c>
      <c r="B19" s="12" t="n"/>
      <c r="C19" s="12" t="n"/>
      <c r="D19" s="12" t="n"/>
      <c r="E19" s="12" t="n"/>
      <c r="F19" s="12" t="n"/>
      <c r="G19" s="12" t="n"/>
      <c r="H19" s="12" t="n"/>
      <c r="I19" s="12" t="n"/>
      <c r="J19" s="13" t="n"/>
      <c r="K19" s="13">
        <f>I19*J19</f>
        <v/>
      </c>
      <c r="L19" s="13">
        <f>K19*0.1</f>
        <v/>
      </c>
      <c r="M19" s="13">
        <f>K19+L19</f>
        <v/>
      </c>
      <c r="N19" s="12" t="n"/>
      <c r="O19" s="12" t="n"/>
      <c r="P19" s="12" t="n"/>
      <c r="Q19" s="13" t="n"/>
      <c r="R19" s="13">
        <f>M19-Q19</f>
        <v/>
      </c>
      <c r="S19" s="12" t="n"/>
    </row>
    <row r="20">
      <c r="A20" s="12" t="n">
        <v>16</v>
      </c>
      <c r="B20" s="12" t="n"/>
      <c r="C20" s="12" t="n"/>
      <c r="D20" s="12" t="n"/>
      <c r="E20" s="12" t="n"/>
      <c r="F20" s="12" t="n"/>
      <c r="G20" s="12" t="n"/>
      <c r="H20" s="12" t="n"/>
      <c r="I20" s="12" t="n"/>
      <c r="J20" s="13" t="n"/>
      <c r="K20" s="13">
        <f>I20*J20</f>
        <v/>
      </c>
      <c r="L20" s="13">
        <f>K20*0.1</f>
        <v/>
      </c>
      <c r="M20" s="13">
        <f>K20+L20</f>
        <v/>
      </c>
      <c r="N20" s="12" t="n"/>
      <c r="O20" s="12" t="n"/>
      <c r="P20" s="12" t="n"/>
      <c r="Q20" s="13" t="n"/>
      <c r="R20" s="13">
        <f>M20-Q20</f>
        <v/>
      </c>
      <c r="S20" s="12" t="n"/>
    </row>
    <row r="21">
      <c r="A21" s="12" t="n">
        <v>17</v>
      </c>
      <c r="B21" s="12" t="n"/>
      <c r="C21" s="12" t="n"/>
      <c r="D21" s="12" t="n"/>
      <c r="E21" s="12" t="n"/>
      <c r="F21" s="12" t="n"/>
      <c r="G21" s="12" t="n"/>
      <c r="H21" s="12" t="n"/>
      <c r="I21" s="12" t="n"/>
      <c r="J21" s="13" t="n"/>
      <c r="K21" s="13">
        <f>I21*J21</f>
        <v/>
      </c>
      <c r="L21" s="13">
        <f>K21*0.1</f>
        <v/>
      </c>
      <c r="M21" s="13">
        <f>K21+L21</f>
        <v/>
      </c>
      <c r="N21" s="12" t="n"/>
      <c r="O21" s="12" t="n"/>
      <c r="P21" s="12" t="n"/>
      <c r="Q21" s="13" t="n"/>
      <c r="R21" s="13">
        <f>M21-Q21</f>
        <v/>
      </c>
      <c r="S21" s="12" t="n"/>
    </row>
    <row r="22">
      <c r="A22" s="12" t="n">
        <v>18</v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3" t="n"/>
      <c r="K22" s="13">
        <f>I22*J22</f>
        <v/>
      </c>
      <c r="L22" s="13">
        <f>K22*0.1</f>
        <v/>
      </c>
      <c r="M22" s="13">
        <f>K22+L22</f>
        <v/>
      </c>
      <c r="N22" s="12" t="n"/>
      <c r="O22" s="12" t="n"/>
      <c r="P22" s="12" t="n"/>
      <c r="Q22" s="13" t="n"/>
      <c r="R22" s="13">
        <f>M22-Q22</f>
        <v/>
      </c>
      <c r="S22" s="12" t="n"/>
    </row>
    <row r="23">
      <c r="A23" s="12" t="n">
        <v>19</v>
      </c>
      <c r="B23" s="12" t="n"/>
      <c r="C23" s="12" t="n"/>
      <c r="D23" s="12" t="n"/>
      <c r="E23" s="12" t="n"/>
      <c r="F23" s="12" t="n"/>
      <c r="G23" s="12" t="n"/>
      <c r="H23" s="12" t="n"/>
      <c r="I23" s="12" t="n"/>
      <c r="J23" s="13" t="n"/>
      <c r="K23" s="13">
        <f>I23*J23</f>
        <v/>
      </c>
      <c r="L23" s="13">
        <f>K23*0.1</f>
        <v/>
      </c>
      <c r="M23" s="13">
        <f>K23+L23</f>
        <v/>
      </c>
      <c r="N23" s="12" t="n"/>
      <c r="O23" s="12" t="n"/>
      <c r="P23" s="12" t="n"/>
      <c r="Q23" s="13" t="n"/>
      <c r="R23" s="13">
        <f>M23-Q23</f>
        <v/>
      </c>
      <c r="S23" s="12" t="n"/>
    </row>
    <row r="24">
      <c r="A24" s="12" t="n">
        <v>20</v>
      </c>
      <c r="B24" s="12" t="n"/>
      <c r="C24" s="12" t="n"/>
      <c r="D24" s="12" t="n"/>
      <c r="E24" s="12" t="n"/>
      <c r="F24" s="12" t="n"/>
      <c r="G24" s="12" t="n"/>
      <c r="H24" s="12" t="n"/>
      <c r="I24" s="12" t="n"/>
      <c r="J24" s="13" t="n"/>
      <c r="K24" s="13">
        <f>I24*J24</f>
        <v/>
      </c>
      <c r="L24" s="13">
        <f>K24*0.1</f>
        <v/>
      </c>
      <c r="M24" s="13">
        <f>K24+L24</f>
        <v/>
      </c>
      <c r="N24" s="12" t="n"/>
      <c r="O24" s="12" t="n"/>
      <c r="P24" s="12" t="n"/>
      <c r="Q24" s="13" t="n"/>
      <c r="R24" s="13">
        <f>M24-Q24</f>
        <v/>
      </c>
      <c r="S24" s="12" t="n"/>
    </row>
    <row r="25">
      <c r="A25" s="12" t="n">
        <v>21</v>
      </c>
      <c r="B25" s="12" t="n"/>
      <c r="C25" s="12" t="n"/>
      <c r="D25" s="12" t="n"/>
      <c r="E25" s="12" t="n"/>
      <c r="F25" s="12" t="n"/>
      <c r="G25" s="12" t="n"/>
      <c r="H25" s="12" t="n"/>
      <c r="I25" s="12" t="n"/>
      <c r="J25" s="13" t="n"/>
      <c r="K25" s="13">
        <f>I25*J25</f>
        <v/>
      </c>
      <c r="L25" s="13">
        <f>K25*0.1</f>
        <v/>
      </c>
      <c r="M25" s="13">
        <f>K25+L25</f>
        <v/>
      </c>
      <c r="N25" s="12" t="n"/>
      <c r="O25" s="12" t="n"/>
      <c r="P25" s="12" t="n"/>
      <c r="Q25" s="13" t="n"/>
      <c r="R25" s="13">
        <f>M25-Q25</f>
        <v/>
      </c>
      <c r="S25" s="12" t="n"/>
    </row>
    <row r="26">
      <c r="A26" s="12" t="n">
        <v>22</v>
      </c>
      <c r="B26" s="12" t="n"/>
      <c r="C26" s="12" t="n"/>
      <c r="D26" s="12" t="n"/>
      <c r="E26" s="12" t="n"/>
      <c r="F26" s="12" t="n"/>
      <c r="G26" s="12" t="n"/>
      <c r="H26" s="12" t="n"/>
      <c r="I26" s="12" t="n"/>
      <c r="J26" s="13" t="n"/>
      <c r="K26" s="13">
        <f>I26*J26</f>
        <v/>
      </c>
      <c r="L26" s="13">
        <f>K26*0.1</f>
        <v/>
      </c>
      <c r="M26" s="13">
        <f>K26+L26</f>
        <v/>
      </c>
      <c r="N26" s="12" t="n"/>
      <c r="O26" s="12" t="n"/>
      <c r="P26" s="12" t="n"/>
      <c r="Q26" s="13" t="n"/>
      <c r="R26" s="13">
        <f>M26-Q26</f>
        <v/>
      </c>
      <c r="S26" s="12" t="n"/>
    </row>
    <row r="27">
      <c r="A27" s="12" t="n">
        <v>23</v>
      </c>
      <c r="B27" s="12" t="n"/>
      <c r="C27" s="12" t="n"/>
      <c r="D27" s="12" t="n"/>
      <c r="E27" s="12" t="n"/>
      <c r="F27" s="12" t="n"/>
      <c r="G27" s="12" t="n"/>
      <c r="H27" s="12" t="n"/>
      <c r="I27" s="12" t="n"/>
      <c r="J27" s="13" t="n"/>
      <c r="K27" s="13">
        <f>I27*J27</f>
        <v/>
      </c>
      <c r="L27" s="13">
        <f>K27*0.1</f>
        <v/>
      </c>
      <c r="M27" s="13">
        <f>K27+L27</f>
        <v/>
      </c>
      <c r="N27" s="12" t="n"/>
      <c r="O27" s="12" t="n"/>
      <c r="P27" s="12" t="n"/>
      <c r="Q27" s="13" t="n"/>
      <c r="R27" s="13">
        <f>M27-Q27</f>
        <v/>
      </c>
      <c r="S27" s="12" t="n"/>
    </row>
    <row r="28">
      <c r="A28" s="12" t="n">
        <v>24</v>
      </c>
      <c r="B28" s="12" t="n"/>
      <c r="C28" s="12" t="n"/>
      <c r="D28" s="12" t="n"/>
      <c r="E28" s="12" t="n"/>
      <c r="F28" s="12" t="n"/>
      <c r="G28" s="12" t="n"/>
      <c r="H28" s="12" t="n"/>
      <c r="I28" s="12" t="n"/>
      <c r="J28" s="13" t="n"/>
      <c r="K28" s="13">
        <f>I28*J28</f>
        <v/>
      </c>
      <c r="L28" s="13">
        <f>K28*0.1</f>
        <v/>
      </c>
      <c r="M28" s="13">
        <f>K28+L28</f>
        <v/>
      </c>
      <c r="N28" s="12" t="n"/>
      <c r="O28" s="12" t="n"/>
      <c r="P28" s="12" t="n"/>
      <c r="Q28" s="13" t="n"/>
      <c r="R28" s="13">
        <f>M28-Q28</f>
        <v/>
      </c>
      <c r="S28" s="12" t="n"/>
    </row>
    <row r="29">
      <c r="A29" s="12" t="n">
        <v>25</v>
      </c>
      <c r="B29" s="12" t="n"/>
      <c r="C29" s="12" t="n"/>
      <c r="D29" s="12" t="n"/>
      <c r="E29" s="12" t="n"/>
      <c r="F29" s="12" t="n"/>
      <c r="G29" s="12" t="n"/>
      <c r="H29" s="12" t="n"/>
      <c r="I29" s="12" t="n"/>
      <c r="J29" s="13" t="n"/>
      <c r="K29" s="13">
        <f>I29*J29</f>
        <v/>
      </c>
      <c r="L29" s="13">
        <f>K29*0.1</f>
        <v/>
      </c>
      <c r="M29" s="13">
        <f>K29+L29</f>
        <v/>
      </c>
      <c r="N29" s="12" t="n"/>
      <c r="O29" s="12" t="n"/>
      <c r="P29" s="12" t="n"/>
      <c r="Q29" s="13" t="n"/>
      <c r="R29" s="13">
        <f>M29-Q29</f>
        <v/>
      </c>
      <c r="S29" s="12" t="n"/>
    </row>
    <row r="30">
      <c r="A30" s="12" t="n">
        <v>26</v>
      </c>
      <c r="B30" s="12" t="n"/>
      <c r="C30" s="12" t="n"/>
      <c r="D30" s="12" t="n"/>
      <c r="E30" s="12" t="n"/>
      <c r="F30" s="12" t="n"/>
      <c r="G30" s="12" t="n"/>
      <c r="H30" s="12" t="n"/>
      <c r="I30" s="12" t="n"/>
      <c r="J30" s="13" t="n"/>
      <c r="K30" s="13">
        <f>I30*J30</f>
        <v/>
      </c>
      <c r="L30" s="13">
        <f>K30*0.1</f>
        <v/>
      </c>
      <c r="M30" s="13">
        <f>K30+L30</f>
        <v/>
      </c>
      <c r="N30" s="12" t="n"/>
      <c r="O30" s="12" t="n"/>
      <c r="P30" s="12" t="n"/>
      <c r="Q30" s="13" t="n"/>
      <c r="R30" s="13">
        <f>M30-Q30</f>
        <v/>
      </c>
      <c r="S30" s="12" t="n"/>
    </row>
    <row r="31">
      <c r="A31" s="12" t="n">
        <v>27</v>
      </c>
      <c r="B31" s="12" t="n"/>
      <c r="C31" s="12" t="n"/>
      <c r="D31" s="12" t="n"/>
      <c r="E31" s="12" t="n"/>
      <c r="F31" s="12" t="n"/>
      <c r="G31" s="12" t="n"/>
      <c r="H31" s="12" t="n"/>
      <c r="I31" s="12" t="n"/>
      <c r="J31" s="13" t="n"/>
      <c r="K31" s="13">
        <f>I31*J31</f>
        <v/>
      </c>
      <c r="L31" s="13">
        <f>K31*0.1</f>
        <v/>
      </c>
      <c r="M31" s="13">
        <f>K31+L31</f>
        <v/>
      </c>
      <c r="N31" s="12" t="n"/>
      <c r="O31" s="12" t="n"/>
      <c r="P31" s="12" t="n"/>
      <c r="Q31" s="13" t="n"/>
      <c r="R31" s="13">
        <f>M31-Q31</f>
        <v/>
      </c>
      <c r="S31" s="12" t="n"/>
    </row>
    <row r="32">
      <c r="A32" s="12" t="n">
        <v>28</v>
      </c>
      <c r="B32" s="12" t="n"/>
      <c r="C32" s="12" t="n"/>
      <c r="D32" s="12" t="n"/>
      <c r="E32" s="12" t="n"/>
      <c r="F32" s="12" t="n"/>
      <c r="G32" s="12" t="n"/>
      <c r="H32" s="12" t="n"/>
      <c r="I32" s="12" t="n"/>
      <c r="J32" s="13" t="n"/>
      <c r="K32" s="13">
        <f>I32*J32</f>
        <v/>
      </c>
      <c r="L32" s="13">
        <f>K32*0.1</f>
        <v/>
      </c>
      <c r="M32" s="13">
        <f>K32+L32</f>
        <v/>
      </c>
      <c r="N32" s="12" t="n"/>
      <c r="O32" s="12" t="n"/>
      <c r="P32" s="12" t="n"/>
      <c r="Q32" s="13" t="n"/>
      <c r="R32" s="13">
        <f>M32-Q32</f>
        <v/>
      </c>
      <c r="S32" s="12" t="n"/>
    </row>
    <row r="33">
      <c r="A33" s="12" t="n">
        <v>29</v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3" t="n"/>
      <c r="K33" s="13">
        <f>I33*J33</f>
        <v/>
      </c>
      <c r="L33" s="13">
        <f>K33*0.1</f>
        <v/>
      </c>
      <c r="M33" s="13">
        <f>K33+L33</f>
        <v/>
      </c>
      <c r="N33" s="12" t="n"/>
      <c r="O33" s="12" t="n"/>
      <c r="P33" s="12" t="n"/>
      <c r="Q33" s="13" t="n"/>
      <c r="R33" s="13">
        <f>M33-Q33</f>
        <v/>
      </c>
      <c r="S33" s="12" t="n"/>
    </row>
    <row r="34">
      <c r="A34" s="12" t="n">
        <v>30</v>
      </c>
      <c r="B34" s="12" t="n"/>
      <c r="C34" s="12" t="n"/>
      <c r="D34" s="12" t="n"/>
      <c r="E34" s="12" t="n"/>
      <c r="F34" s="12" t="n"/>
      <c r="G34" s="12" t="n"/>
      <c r="H34" s="12" t="n"/>
      <c r="I34" s="12" t="n"/>
      <c r="J34" s="13" t="n"/>
      <c r="K34" s="13">
        <f>I34*J34</f>
        <v/>
      </c>
      <c r="L34" s="13">
        <f>K34*0.1</f>
        <v/>
      </c>
      <c r="M34" s="13">
        <f>K34+L34</f>
        <v/>
      </c>
      <c r="N34" s="12" t="n"/>
      <c r="O34" s="12" t="n"/>
      <c r="P34" s="12" t="n"/>
      <c r="Q34" s="13" t="n"/>
      <c r="R34" s="13">
        <f>M34-Q34</f>
        <v/>
      </c>
      <c r="S34" s="12" t="n"/>
    </row>
    <row r="35">
      <c r="A35" s="12" t="n">
        <v>31</v>
      </c>
      <c r="B35" s="12" t="n"/>
      <c r="C35" s="12" t="n"/>
      <c r="D35" s="12" t="n"/>
      <c r="E35" s="12" t="n"/>
      <c r="F35" s="12" t="n"/>
      <c r="G35" s="12" t="n"/>
      <c r="H35" s="12" t="n"/>
      <c r="I35" s="12" t="n"/>
      <c r="J35" s="13" t="n"/>
      <c r="K35" s="13">
        <f>I35*J35</f>
        <v/>
      </c>
      <c r="L35" s="13">
        <f>K35*0.1</f>
        <v/>
      </c>
      <c r="M35" s="13">
        <f>K35+L35</f>
        <v/>
      </c>
      <c r="N35" s="12" t="n"/>
      <c r="O35" s="12" t="n"/>
      <c r="P35" s="12" t="n"/>
      <c r="Q35" s="13" t="n"/>
      <c r="R35" s="13">
        <f>M35-Q35</f>
        <v/>
      </c>
      <c r="S35" s="12" t="n"/>
    </row>
    <row r="36">
      <c r="A36" s="12" t="n">
        <v>32</v>
      </c>
      <c r="B36" s="12" t="n"/>
      <c r="C36" s="12" t="n"/>
      <c r="D36" s="12" t="n"/>
      <c r="E36" s="12" t="n"/>
      <c r="F36" s="12" t="n"/>
      <c r="G36" s="12" t="n"/>
      <c r="H36" s="12" t="n"/>
      <c r="I36" s="12" t="n"/>
      <c r="J36" s="13" t="n"/>
      <c r="K36" s="13">
        <f>I36*J36</f>
        <v/>
      </c>
      <c r="L36" s="13">
        <f>K36*0.1</f>
        <v/>
      </c>
      <c r="M36" s="13">
        <f>K36+L36</f>
        <v/>
      </c>
      <c r="N36" s="12" t="n"/>
      <c r="O36" s="12" t="n"/>
      <c r="P36" s="12" t="n"/>
      <c r="Q36" s="13" t="n"/>
      <c r="R36" s="13">
        <f>M36-Q36</f>
        <v/>
      </c>
      <c r="S36" s="12" t="n"/>
    </row>
    <row r="37">
      <c r="A37" s="12" t="n">
        <v>33</v>
      </c>
      <c r="B37" s="12" t="n"/>
      <c r="C37" s="12" t="n"/>
      <c r="D37" s="12" t="n"/>
      <c r="E37" s="12" t="n"/>
      <c r="F37" s="12" t="n"/>
      <c r="G37" s="12" t="n"/>
      <c r="H37" s="12" t="n"/>
      <c r="I37" s="12" t="n"/>
      <c r="J37" s="13" t="n"/>
      <c r="K37" s="13">
        <f>I37*J37</f>
        <v/>
      </c>
      <c r="L37" s="13">
        <f>K37*0.1</f>
        <v/>
      </c>
      <c r="M37" s="13">
        <f>K37+L37</f>
        <v/>
      </c>
      <c r="N37" s="12" t="n"/>
      <c r="O37" s="12" t="n"/>
      <c r="P37" s="12" t="n"/>
      <c r="Q37" s="13" t="n"/>
      <c r="R37" s="13">
        <f>M37-Q37</f>
        <v/>
      </c>
      <c r="S37" s="12" t="n"/>
    </row>
    <row r="40">
      <c r="A40" s="14" t="inlineStr">
        <is>
          <t>月次請求サマリー（経理部共有用）</t>
        </is>
      </c>
    </row>
    <row r="41">
      <c r="A41" s="1" t="inlineStr">
        <is>
          <t>請求月</t>
        </is>
      </c>
      <c r="B41" s="1" t="inlineStr">
        <is>
          <t>請求件数</t>
        </is>
      </c>
      <c r="C41" s="1" t="inlineStr">
        <is>
          <t>請求合計（税抜）</t>
        </is>
      </c>
      <c r="D41" s="1" t="inlineStr">
        <is>
          <t>消費税合計</t>
        </is>
      </c>
      <c r="E41" s="1" t="inlineStr">
        <is>
          <t>請求合計（税込）</t>
        </is>
      </c>
      <c r="F41" s="1" t="inlineStr">
        <is>
          <t>入金済件数</t>
        </is>
      </c>
      <c r="G41" s="1" t="inlineStr">
        <is>
          <t>入金済合計</t>
        </is>
      </c>
      <c r="H41" s="1" t="inlineStr">
        <is>
          <t>未入金合計</t>
        </is>
      </c>
      <c r="I41" s="1" t="inlineStr">
        <is>
          <t>備考</t>
        </is>
      </c>
    </row>
    <row r="42">
      <c r="A42" s="3" t="inlineStr">
        <is>
          <t>2026年4月</t>
        </is>
      </c>
      <c r="B42" s="3">
        <f>COUNTIF(B$5:B$37,A42)</f>
        <v/>
      </c>
      <c r="C42" s="11">
        <f>SUMIF(B$5:B$37,A42,K$5:K$37)</f>
        <v/>
      </c>
      <c r="D42" s="11">
        <f>SUMIF(B$5:B$37,A42,L$5:L$37)</f>
        <v/>
      </c>
      <c r="E42" s="11">
        <f>SUMIF(B$5:B$37,A42,M$5:M$37)</f>
        <v/>
      </c>
      <c r="F42" s="3">
        <f>COUNTIFS(B$5:B$37,A42,O$5:O$37,"入金済")</f>
        <v/>
      </c>
      <c r="G42" s="11">
        <f>SUMIFS(Q$5:Q$37,B$5:B$37,A42,O$5:O$37,"入金済")</f>
        <v/>
      </c>
      <c r="H42" s="11">
        <f>E42-G42</f>
        <v/>
      </c>
      <c r="I42" s="3" t="n"/>
    </row>
    <row r="43">
      <c r="A43" s="3" t="inlineStr">
        <is>
          <t>2026年5月</t>
        </is>
      </c>
      <c r="B43" s="3">
        <f>COUNTIF(B$5:B$37,A43)</f>
        <v/>
      </c>
      <c r="C43" s="11">
        <f>SUMIF(B$5:B$37,A43,K$5:K$37)</f>
        <v/>
      </c>
      <c r="D43" s="11">
        <f>SUMIF(B$5:B$37,A43,L$5:L$37)</f>
        <v/>
      </c>
      <c r="E43" s="11">
        <f>SUMIF(B$5:B$37,A43,M$5:M$37)</f>
        <v/>
      </c>
      <c r="F43" s="3">
        <f>COUNTIFS(B$5:B$37,A43,O$5:O$37,"入金済")</f>
        <v/>
      </c>
      <c r="G43" s="11">
        <f>SUMIFS(Q$5:Q$37,B$5:B$37,A43,O$5:O$37,"入金済")</f>
        <v/>
      </c>
      <c r="H43" s="11">
        <f>E43-G43</f>
        <v/>
      </c>
      <c r="I43" s="3" t="n"/>
    </row>
    <row r="44">
      <c r="A44" s="3" t="inlineStr">
        <is>
          <t>2026年6月</t>
        </is>
      </c>
      <c r="B44" s="3">
        <f>COUNTIF(B$5:B$37,A44)</f>
        <v/>
      </c>
      <c r="C44" s="11">
        <f>SUMIF(B$5:B$37,A44,K$5:K$37)</f>
        <v/>
      </c>
      <c r="D44" s="11">
        <f>SUMIF(B$5:B$37,A44,L$5:L$37)</f>
        <v/>
      </c>
      <c r="E44" s="11">
        <f>SUMIF(B$5:B$37,A44,M$5:M$37)</f>
        <v/>
      </c>
      <c r="F44" s="3">
        <f>COUNTIFS(B$5:B$37,A44,O$5:O$37,"入金済")</f>
        <v/>
      </c>
      <c r="G44" s="11">
        <f>SUMIFS(Q$5:Q$37,B$5:B$37,A44,O$5:O$37,"入金済")</f>
        <v/>
      </c>
      <c r="H44" s="11">
        <f>E44-G44</f>
        <v/>
      </c>
      <c r="I44" s="3" t="n"/>
    </row>
    <row r="45">
      <c r="A45" s="3" t="inlineStr">
        <is>
          <t>2026年7月</t>
        </is>
      </c>
      <c r="B45" s="3">
        <f>COUNTIF(B$5:B$37,A45)</f>
        <v/>
      </c>
      <c r="C45" s="11">
        <f>SUMIF(B$5:B$37,A45,K$5:K$37)</f>
        <v/>
      </c>
      <c r="D45" s="11">
        <f>SUMIF(B$5:B$37,A45,L$5:L$37)</f>
        <v/>
      </c>
      <c r="E45" s="11">
        <f>SUMIF(B$5:B$37,A45,M$5:M$37)</f>
        <v/>
      </c>
      <c r="F45" s="3">
        <f>COUNTIFS(B$5:B$37,A45,O$5:O$37,"入金済")</f>
        <v/>
      </c>
      <c r="G45" s="11">
        <f>SUMIFS(Q$5:Q$37,B$5:B$37,A45,O$5:O$37,"入金済")</f>
        <v/>
      </c>
      <c r="H45" s="11">
        <f>E45-G45</f>
        <v/>
      </c>
      <c r="I45" s="3" t="n"/>
    </row>
    <row r="46">
      <c r="A46" s="3" t="inlineStr">
        <is>
          <t>2026年8月</t>
        </is>
      </c>
      <c r="B46" s="3">
        <f>COUNTIF(B$5:B$37,A46)</f>
        <v/>
      </c>
      <c r="C46" s="11">
        <f>SUMIF(B$5:B$37,A46,K$5:K$37)</f>
        <v/>
      </c>
      <c r="D46" s="11">
        <f>SUMIF(B$5:B$37,A46,L$5:L$37)</f>
        <v/>
      </c>
      <c r="E46" s="11">
        <f>SUMIF(B$5:B$37,A46,M$5:M$37)</f>
        <v/>
      </c>
      <c r="F46" s="3">
        <f>COUNTIFS(B$5:B$37,A46,O$5:O$37,"入金済")</f>
        <v/>
      </c>
      <c r="G46" s="11">
        <f>SUMIFS(Q$5:Q$37,B$5:B$37,A46,O$5:O$37,"入金済")</f>
        <v/>
      </c>
      <c r="H46" s="11">
        <f>E46-G46</f>
        <v/>
      </c>
      <c r="I46" s="3" t="n"/>
    </row>
    <row r="47">
      <c r="A47" s="3" t="inlineStr">
        <is>
          <t>2026年9月</t>
        </is>
      </c>
      <c r="B47" s="3">
        <f>COUNTIF(B$5:B$37,A47)</f>
        <v/>
      </c>
      <c r="C47" s="11">
        <f>SUMIF(B$5:B$37,A47,K$5:K$37)</f>
        <v/>
      </c>
      <c r="D47" s="11">
        <f>SUMIF(B$5:B$37,A47,L$5:L$37)</f>
        <v/>
      </c>
      <c r="E47" s="11">
        <f>SUMIF(B$5:B$37,A47,M$5:M$37)</f>
        <v/>
      </c>
      <c r="F47" s="3">
        <f>COUNTIFS(B$5:B$37,A47,O$5:O$37,"入金済")</f>
        <v/>
      </c>
      <c r="G47" s="11">
        <f>SUMIFS(Q$5:Q$37,B$5:B$37,A47,O$5:O$37,"入金済")</f>
        <v/>
      </c>
      <c r="H47" s="11">
        <f>E47-G47</f>
        <v/>
      </c>
      <c r="I47" s="3" t="n"/>
    </row>
    <row r="48">
      <c r="A48" s="3" t="inlineStr">
        <is>
          <t>合計</t>
        </is>
      </c>
      <c r="B48" s="11">
        <f>SUM(B42:B47)</f>
        <v/>
      </c>
      <c r="C48" s="11">
        <f>SUM(C42:C47)</f>
        <v/>
      </c>
      <c r="D48" s="11">
        <f>SUM(D42:D47)</f>
        <v/>
      </c>
      <c r="E48" s="11">
        <f>SUM(E42:E47)</f>
        <v/>
      </c>
      <c r="F48" s="11">
        <f>SUM(F42:F47)</f>
        <v/>
      </c>
      <c r="G48" s="11">
        <f>SUM(G42:G47)</f>
        <v/>
      </c>
      <c r="H48" s="11">
        <f>SUM(H42:H47)</f>
        <v/>
      </c>
      <c r="I48" s="3" t="n"/>
    </row>
  </sheetData>
  <mergeCells count="3">
    <mergeCell ref="A40:S40"/>
    <mergeCell ref="A2:N2"/>
    <mergeCell ref="A1:N1"/>
  </mergeCells>
  <dataValidations count="3">
    <dataValidation sqref="O5:O100" showDropDown="0" showInputMessage="0" showErrorMessage="0" allowBlank="1" type="list">
      <formula1>"未請求,請求済,入金済,遅延,一部入金,貸倒"</formula1>
    </dataValidation>
    <dataValidation sqref="B5:B100" showDropDown="0" showInputMessage="0" showErrorMessage="0" allowBlank="1" type="list">
      <formula1>"2026年4月,2026年5月,2026年6月,2026年7月,2026年8月,2026年9月,2026年10月,2026年11月,2026年12月,2027年1月,2027年2月,2027年3月"</formula1>
    </dataValidation>
    <dataValidation sqref="H5:H100" showDropDown="0" showInputMessage="0" showErrorMessage="0" allowBlank="1" type="list">
      <formula1>"プラットフォーム掲載料（ライト）,プラットフォーム掲載料（スタンダード）,プラットフォーム掲載料（プレミアム）,ルームツアー動画撮影・制作,SNS運用代行,WEB制作・SEO,リード送客費（反響課金）,セミナー参加費,広告・タイアップ,その他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E8740C"/>
    <outlinePr summaryBelow="1" summaryRight="1"/>
    <pageSetUpPr/>
  </sheetPr>
  <dimension ref="A1:I21"/>
  <sheetViews>
    <sheetView workbookViewId="0">
      <selection activeCell="A1" sqref="A1"/>
    </sheetView>
  </sheetViews>
  <sheetFormatPr baseColWidth="8" defaultRowHeight="15"/>
  <cols>
    <col width="24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22" customWidth="1" min="9" max="9"/>
  </cols>
  <sheetData>
    <row r="1">
      <c r="A1" s="1" t="inlineStr">
        <is>
          <t>項目</t>
        </is>
      </c>
      <c r="B1" s="1" t="inlineStr">
        <is>
          <t>4月</t>
        </is>
      </c>
      <c r="C1" s="1" t="inlineStr">
        <is>
          <t>5月</t>
        </is>
      </c>
      <c r="D1" s="1" t="inlineStr">
        <is>
          <t>6月</t>
        </is>
      </c>
      <c r="E1" s="1" t="inlineStr">
        <is>
          <t>7月</t>
        </is>
      </c>
      <c r="F1" s="1" t="inlineStr">
        <is>
          <t>8月</t>
        </is>
      </c>
      <c r="G1" s="1" t="inlineStr">
        <is>
          <t>9月</t>
        </is>
      </c>
      <c r="H1" s="1" t="inlineStr">
        <is>
          <t>Q2合計</t>
        </is>
      </c>
      <c r="I1" s="1" t="inlineStr">
        <is>
          <t>備考</t>
        </is>
      </c>
    </row>
    <row r="2">
      <c r="A2" s="2" t="inlineStr">
        <is>
          <t>【売上】</t>
        </is>
      </c>
      <c r="B2" s="2" t="n"/>
      <c r="C2" s="2" t="n"/>
      <c r="D2" s="2" t="n"/>
      <c r="E2" s="2" t="n"/>
      <c r="F2" s="2" t="n"/>
      <c r="G2" s="2" t="n"/>
      <c r="H2" s="2" t="n"/>
      <c r="I2" s="2" t="n"/>
    </row>
    <row r="3">
      <c r="A3" s="3" t="inlineStr">
        <is>
          <t>YouTube広告収益</t>
        </is>
      </c>
      <c r="B3" s="3" t="n"/>
      <c r="C3" s="3" t="n"/>
      <c r="D3" s="3" t="n"/>
      <c r="E3" s="3" t="n"/>
      <c r="F3" s="3" t="n"/>
      <c r="G3" s="3" t="n"/>
      <c r="H3" s="3">
        <f>SUM(B3:G3)</f>
        <v/>
      </c>
      <c r="I3" s="3" t="inlineStr">
        <is>
          <t>YouTubeアナリティクスから</t>
        </is>
      </c>
    </row>
    <row r="4">
      <c r="A4" s="3" t="inlineStr">
        <is>
          <t>反響課金（リード送客）</t>
        </is>
      </c>
      <c r="B4" s="3" t="n"/>
      <c r="C4" s="3" t="n"/>
      <c r="D4" s="3" t="n"/>
      <c r="E4" s="3" t="n"/>
      <c r="F4" s="3" t="n"/>
      <c r="G4" s="3" t="n"/>
      <c r="H4" s="3">
        <f>SUM(B4:G4)</f>
        <v/>
      </c>
      <c r="I4" s="3" t="inlineStr">
        <is>
          <t>リード数×単価</t>
        </is>
      </c>
    </row>
    <row r="5">
      <c r="A5" s="3" t="inlineStr">
        <is>
          <t>掲載料（月額パートナー）</t>
        </is>
      </c>
      <c r="B5" s="3" t="n"/>
      <c r="C5" s="3" t="n"/>
      <c r="D5" s="3" t="n"/>
      <c r="E5" s="3" t="n"/>
      <c r="F5" s="3" t="n"/>
      <c r="G5" s="3" t="n"/>
      <c r="H5" s="3">
        <f>SUM(B5:G5)</f>
        <v/>
      </c>
      <c r="I5" s="3" t="inlineStr">
        <is>
          <t>パートナー数×月額</t>
        </is>
      </c>
    </row>
    <row r="6">
      <c r="A6" s="3" t="inlineStr">
        <is>
          <t>動画撮影費</t>
        </is>
      </c>
      <c r="B6" s="3" t="n"/>
      <c r="C6" s="3" t="n"/>
      <c r="D6" s="3" t="n"/>
      <c r="E6" s="3" t="n"/>
      <c r="F6" s="3" t="n"/>
      <c r="G6" s="3" t="n"/>
      <c r="H6" s="3">
        <f>SUM(B6:G6)</f>
        <v/>
      </c>
      <c r="I6" s="3" t="inlineStr">
        <is>
          <t>撮影本数×単価</t>
        </is>
      </c>
    </row>
    <row r="7">
      <c r="A7" s="3" t="inlineStr">
        <is>
          <t>SNS運用代行</t>
        </is>
      </c>
      <c r="B7" s="3" t="n"/>
      <c r="C7" s="3" t="n"/>
      <c r="D7" s="3" t="n"/>
      <c r="E7" s="3" t="n"/>
      <c r="F7" s="3" t="n"/>
      <c r="G7" s="3" t="n"/>
      <c r="H7" s="3">
        <f>SUM(B7:G7)</f>
        <v/>
      </c>
      <c r="I7" s="3" t="inlineStr">
        <is>
          <t>契約社数×月額</t>
        </is>
      </c>
    </row>
    <row r="8">
      <c r="A8" s="3" t="inlineStr">
        <is>
          <t>その他売上</t>
        </is>
      </c>
      <c r="B8" s="3" t="n"/>
      <c r="C8" s="3" t="n"/>
      <c r="D8" s="3" t="n"/>
      <c r="E8" s="3" t="n"/>
      <c r="F8" s="3" t="n"/>
      <c r="G8" s="3" t="n"/>
      <c r="H8" s="3">
        <f>SUM(B8:G8)</f>
        <v/>
      </c>
      <c r="I8" s="3" t="n"/>
    </row>
    <row r="9">
      <c r="A9" s="2" t="inlineStr">
        <is>
          <t>売上合計</t>
        </is>
      </c>
      <c r="B9" s="2">
        <f>SUM(B3:B8)</f>
        <v/>
      </c>
      <c r="C9" s="2">
        <f>SUM(C3:C8)</f>
        <v/>
      </c>
      <c r="D9" s="2">
        <f>SUM(D3:D8)</f>
        <v/>
      </c>
      <c r="E9" s="2">
        <f>SUM(E3:E8)</f>
        <v/>
      </c>
      <c r="F9" s="2">
        <f>SUM(F3:F8)</f>
        <v/>
      </c>
      <c r="G9" s="2">
        <f>SUM(G3:G8)</f>
        <v/>
      </c>
      <c r="H9" s="2">
        <f>SUM(B9:G9)</f>
        <v/>
      </c>
      <c r="I9" s="2" t="n"/>
    </row>
    <row r="10">
      <c r="A10" s="3" t="n"/>
      <c r="B10" s="3" t="n"/>
      <c r="C10" s="3" t="n"/>
      <c r="D10" s="3" t="n"/>
      <c r="E10" s="3" t="n"/>
      <c r="F10" s="3" t="n"/>
      <c r="G10" s="3" t="n"/>
      <c r="H10" s="3" t="n"/>
      <c r="I10" s="3" t="n"/>
    </row>
    <row r="11">
      <c r="A11" s="2" t="inlineStr">
        <is>
          <t>【経費】</t>
        </is>
      </c>
      <c r="B11" s="2" t="n"/>
      <c r="C11" s="2" t="n"/>
      <c r="D11" s="2" t="n"/>
      <c r="E11" s="2" t="n"/>
      <c r="F11" s="2" t="n"/>
      <c r="G11" s="2" t="n"/>
      <c r="H11" s="2" t="n"/>
      <c r="I11" s="2" t="n"/>
    </row>
    <row r="12">
      <c r="A12" s="3" t="inlineStr">
        <is>
          <t>撮影・制作費</t>
        </is>
      </c>
      <c r="B12" s="3" t="n"/>
      <c r="C12" s="3" t="n"/>
      <c r="D12" s="3" t="n"/>
      <c r="E12" s="3" t="n"/>
      <c r="F12" s="3" t="n"/>
      <c r="G12" s="3" t="n"/>
      <c r="H12" s="3">
        <f>SUM(B12:G12)</f>
        <v/>
      </c>
      <c r="I12" s="3" t="inlineStr">
        <is>
          <t>外注・機材・交通費</t>
        </is>
      </c>
    </row>
    <row r="13">
      <c r="A13" s="3" t="inlineStr">
        <is>
          <t>ツール費（Supabase/Vercel等）</t>
        </is>
      </c>
      <c r="B13" s="3" t="n"/>
      <c r="C13" s="3" t="n"/>
      <c r="D13" s="3" t="n"/>
      <c r="E13" s="3" t="n"/>
      <c r="F13" s="3" t="n"/>
      <c r="G13" s="3" t="n"/>
      <c r="H13" s="3">
        <f>SUM(B13:G13)</f>
        <v/>
      </c>
      <c r="I13" s="3" t="inlineStr">
        <is>
          <t>月額固定</t>
        </is>
      </c>
    </row>
    <row r="14">
      <c r="A14" s="3" t="inlineStr">
        <is>
          <t>広告費（YouTube/SNS）</t>
        </is>
      </c>
      <c r="B14" s="3" t="n"/>
      <c r="C14" s="3" t="n"/>
      <c r="D14" s="3" t="n"/>
      <c r="E14" s="3" t="n"/>
      <c r="F14" s="3" t="n"/>
      <c r="G14" s="3" t="n"/>
      <c r="H14" s="3">
        <f>SUM(B14:G14)</f>
        <v/>
      </c>
      <c r="I14" s="3" t="n"/>
    </row>
    <row r="15">
      <c r="A15" s="3" t="inlineStr">
        <is>
          <t>人件費</t>
        </is>
      </c>
      <c r="B15" s="3" t="n"/>
      <c r="C15" s="3" t="n"/>
      <c r="D15" s="3" t="n"/>
      <c r="E15" s="3" t="n"/>
      <c r="F15" s="3" t="n"/>
      <c r="G15" s="3" t="n"/>
      <c r="H15" s="3">
        <f>SUM(B15:G15)</f>
        <v/>
      </c>
      <c r="I15" s="3" t="n"/>
    </row>
    <row r="16">
      <c r="A16" s="3" t="inlineStr">
        <is>
          <t>通信費・その他</t>
        </is>
      </c>
      <c r="B16" s="3" t="n"/>
      <c r="C16" s="3" t="n"/>
      <c r="D16" s="3" t="n"/>
      <c r="E16" s="3" t="n"/>
      <c r="F16" s="3" t="n"/>
      <c r="G16" s="3" t="n"/>
      <c r="H16" s="3">
        <f>SUM(B16:G16)</f>
        <v/>
      </c>
      <c r="I16" s="3" t="n"/>
    </row>
    <row r="17">
      <c r="A17" s="2" t="inlineStr">
        <is>
          <t>経費合計</t>
        </is>
      </c>
      <c r="B17" s="2">
        <f>SUM(B12:B16)</f>
        <v/>
      </c>
      <c r="C17" s="2">
        <f>SUM(C12:C16)</f>
        <v/>
      </c>
      <c r="D17" s="2">
        <f>SUM(D12:D16)</f>
        <v/>
      </c>
      <c r="E17" s="2">
        <f>SUM(E12:E16)</f>
        <v/>
      </c>
      <c r="F17" s="2">
        <f>SUM(F12:F16)</f>
        <v/>
      </c>
      <c r="G17" s="2">
        <f>SUM(G12:G16)</f>
        <v/>
      </c>
      <c r="H17" s="2">
        <f>SUM(B17:G17)</f>
        <v/>
      </c>
      <c r="I17" s="2" t="n"/>
    </row>
    <row r="18">
      <c r="A18" s="3" t="n"/>
      <c r="B18" s="3" t="n"/>
      <c r="C18" s="3" t="n"/>
      <c r="D18" s="3" t="n"/>
      <c r="E18" s="3" t="n"/>
      <c r="F18" s="3" t="n"/>
      <c r="G18" s="3" t="n"/>
      <c r="H18" s="3" t="n"/>
      <c r="I18" s="3" t="n"/>
    </row>
    <row r="19">
      <c r="A19" s="2" t="inlineStr">
        <is>
          <t>【損益】</t>
        </is>
      </c>
      <c r="B19" s="2" t="n"/>
      <c r="C19" s="2" t="n"/>
      <c r="D19" s="2" t="n"/>
      <c r="E19" s="2" t="n"/>
      <c r="F19" s="2" t="n"/>
      <c r="G19" s="2" t="n"/>
      <c r="H19" s="2" t="n"/>
      <c r="I19" s="2" t="n"/>
    </row>
    <row r="20">
      <c r="A20" s="2" t="inlineStr">
        <is>
          <t>営業利益</t>
        </is>
      </c>
      <c r="B20" s="2">
        <f>B9-B17</f>
        <v/>
      </c>
      <c r="C20" s="2">
        <f>C9-C17</f>
        <v/>
      </c>
      <c r="D20" s="2">
        <f>D9-D17</f>
        <v/>
      </c>
      <c r="E20" s="2">
        <f>E9-E17</f>
        <v/>
      </c>
      <c r="F20" s="2">
        <f>F9-F17</f>
        <v/>
      </c>
      <c r="G20" s="2">
        <f>G9-G17</f>
        <v/>
      </c>
      <c r="H20" s="2">
        <f>H9-H17</f>
        <v/>
      </c>
      <c r="I20" s="2" t="n"/>
    </row>
    <row r="21">
      <c r="A21" s="2" t="inlineStr">
        <is>
          <t>累計損益</t>
        </is>
      </c>
      <c r="B21" s="2">
        <f>B20</f>
        <v/>
      </c>
      <c r="C21" s="2">
        <f>B21+C20</f>
        <v/>
      </c>
      <c r="D21" s="2">
        <f>C21+D20</f>
        <v/>
      </c>
      <c r="E21" s="2">
        <f>D21+E20</f>
        <v/>
      </c>
      <c r="F21" s="2">
        <f>E21+F20</f>
        <v/>
      </c>
      <c r="G21" s="2">
        <f>F21+G20</f>
        <v/>
      </c>
      <c r="H21" s="2">
        <f>G21</f>
        <v/>
      </c>
      <c r="I21" s="2" t="n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E8740C"/>
    <outlinePr summaryBelow="1" summaryRight="1"/>
    <pageSetUpPr/>
  </sheetPr>
  <dimension ref="A1:G25"/>
  <sheetViews>
    <sheetView workbookViewId="0">
      <selection activeCell="A1" sqref="A1"/>
    </sheetView>
  </sheetViews>
  <sheetFormatPr baseColWidth="8" defaultRowHeight="15"/>
  <cols>
    <col width="2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25" customWidth="1" min="7" max="7"/>
  </cols>
  <sheetData>
    <row r="1">
      <c r="A1" s="4" t="inlineStr">
        <is>
          <t>ぺいほーむ 週次KPIレポート</t>
        </is>
      </c>
    </row>
    <row r="2">
      <c r="A2" s="5" t="inlineStr">
        <is>
          <t>対象期間:</t>
        </is>
      </c>
      <c r="B2" s="5" t="inlineStr">
        <is>
          <t>2026/○/○ 〜 2026/○/○</t>
        </is>
      </c>
    </row>
    <row r="4">
      <c r="A4" s="1" t="inlineStr">
        <is>
          <t>KPI</t>
        </is>
      </c>
      <c r="B4" s="1" t="inlineStr">
        <is>
          <t>今週</t>
        </is>
      </c>
      <c r="C4" s="1" t="inlineStr">
        <is>
          <t>先週</t>
        </is>
      </c>
      <c r="D4" s="1" t="inlineStr">
        <is>
          <t>増減</t>
        </is>
      </c>
      <c r="E4" s="1" t="inlineStr">
        <is>
          <t>目標</t>
        </is>
      </c>
      <c r="F4" s="1" t="inlineStr">
        <is>
          <t>達成率</t>
        </is>
      </c>
      <c r="G4" s="1" t="inlineStr">
        <is>
          <t>メモ</t>
        </is>
      </c>
    </row>
    <row r="5">
      <c r="A5" s="3" t="inlineStr">
        <is>
          <t>WebサイトPV</t>
        </is>
      </c>
      <c r="B5" s="3" t="n"/>
      <c r="C5" s="3" t="n"/>
      <c r="D5" s="3">
        <f>B5-C5</f>
        <v/>
      </c>
      <c r="E5" s="3" t="n"/>
      <c r="F5" s="3">
        <f>IF(E5=0,"",B5/E5)</f>
        <v/>
      </c>
      <c r="G5" s="3" t="n"/>
    </row>
    <row r="6">
      <c r="A6" s="3" t="inlineStr">
        <is>
          <t>YouTube週間視聴回数</t>
        </is>
      </c>
      <c r="B6" s="3" t="n"/>
      <c r="C6" s="3" t="n"/>
      <c r="D6" s="3">
        <f>B6-C6</f>
        <v/>
      </c>
      <c r="E6" s="3" t="n"/>
      <c r="F6" s="3">
        <f>IF(E6=0,"",B6/E6)</f>
        <v/>
      </c>
      <c r="G6" s="3" t="n"/>
    </row>
    <row r="7">
      <c r="A7" s="3" t="inlineStr">
        <is>
          <t>AI相談開始数</t>
        </is>
      </c>
      <c r="B7" s="3" t="n"/>
      <c r="C7" s="3" t="n"/>
      <c r="D7" s="3">
        <f>B7-C7</f>
        <v/>
      </c>
      <c r="E7" s="3" t="n"/>
      <c r="F7" s="3">
        <f>IF(E7=0,"",B7/E7)</f>
        <v/>
      </c>
      <c r="G7" s="3" t="n"/>
    </row>
    <row r="8">
      <c r="A8" s="3" t="inlineStr">
        <is>
          <t>新規リード数</t>
        </is>
      </c>
      <c r="B8" s="3" t="n"/>
      <c r="C8" s="3" t="n"/>
      <c r="D8" s="3">
        <f>B8-C8</f>
        <v/>
      </c>
      <c r="E8" s="3" t="n"/>
      <c r="F8" s="3">
        <f>IF(E8=0,"",B8/E8)</f>
        <v/>
      </c>
      <c r="G8" s="3" t="n"/>
    </row>
    <row r="9">
      <c r="A9" s="3" t="inlineStr">
        <is>
          <t>相談フォーム送信数</t>
        </is>
      </c>
      <c r="B9" s="3" t="n"/>
      <c r="C9" s="3" t="n"/>
      <c r="D9" s="3">
        <f>B9-C9</f>
        <v/>
      </c>
      <c r="E9" s="3" t="n"/>
      <c r="F9" s="3" t="n"/>
      <c r="G9" s="3" t="n"/>
    </row>
    <row r="10">
      <c r="A10" s="3" t="inlineStr">
        <is>
          <t>資料請求数</t>
        </is>
      </c>
      <c r="B10" s="3" t="n"/>
      <c r="C10" s="3" t="n"/>
      <c r="D10" s="3">
        <f>B10-C10</f>
        <v/>
      </c>
      <c r="E10" s="3" t="n"/>
      <c r="F10" s="3" t="n"/>
      <c r="G10" s="3" t="n"/>
    </row>
    <row r="11">
      <c r="A11" s="3" t="inlineStr">
        <is>
          <t>見学会予約数</t>
        </is>
      </c>
      <c r="B11" s="3" t="n"/>
      <c r="C11" s="3" t="n"/>
      <c r="D11" s="3">
        <f>B11-C11</f>
        <v/>
      </c>
      <c r="E11" s="3" t="n"/>
      <c r="F11" s="3" t="n"/>
      <c r="G11" s="3" t="n"/>
    </row>
    <row r="12">
      <c r="A12" s="3" t="inlineStr">
        <is>
          <t>お気に入り追加数</t>
        </is>
      </c>
      <c r="B12" s="3" t="n"/>
      <c r="C12" s="3" t="n"/>
      <c r="D12" s="3">
        <f>B12-C12</f>
        <v/>
      </c>
      <c r="E12" s="3" t="n"/>
      <c r="F12" s="3" t="n"/>
      <c r="G12" s="3" t="n"/>
    </row>
    <row r="13">
      <c r="A13" s="3" t="inlineStr">
        <is>
          <t>パートナー工務店数</t>
        </is>
      </c>
      <c r="B13" s="3" t="n"/>
      <c r="C13" s="3" t="n"/>
      <c r="D13" s="3">
        <f>B13-C13</f>
        <v/>
      </c>
      <c r="E13" s="3" t="n"/>
      <c r="F13" s="3" t="n"/>
      <c r="G13" s="3" t="n"/>
    </row>
    <row r="14">
      <c r="A14" s="3" t="inlineStr">
        <is>
          <t>メール営業 送信数</t>
        </is>
      </c>
      <c r="B14" s="3" t="n"/>
      <c r="C14" s="3" t="n"/>
      <c r="D14" s="3">
        <f>B14-C14</f>
        <v/>
      </c>
      <c r="E14" s="3" t="n"/>
      <c r="F14" s="3" t="n"/>
      <c r="G14" s="3" t="n"/>
    </row>
    <row r="15">
      <c r="A15" s="3" t="inlineStr">
        <is>
          <t>メール営業 返信数</t>
        </is>
      </c>
      <c r="B15" s="3" t="n"/>
      <c r="C15" s="3" t="n"/>
      <c r="D15" s="3">
        <f>B15-C15</f>
        <v/>
      </c>
      <c r="E15" s="3" t="n"/>
      <c r="F15" s="3" t="n"/>
      <c r="G15" s="3" t="n"/>
    </row>
    <row r="17">
      <c r="A17" s="6" t="inlineStr">
        <is>
          <t>今週のアクション振り返り</t>
        </is>
      </c>
    </row>
    <row r="18">
      <c r="A18" s="5" t="inlineStr">
        <is>
          <t xml:space="preserve">□ </t>
        </is>
      </c>
    </row>
    <row r="19">
      <c r="A19" s="5" t="inlineStr">
        <is>
          <t xml:space="preserve">□ </t>
        </is>
      </c>
    </row>
    <row r="20">
      <c r="A20" s="5" t="inlineStr">
        <is>
          <t xml:space="preserve">□ </t>
        </is>
      </c>
    </row>
    <row r="22">
      <c r="A22" s="6" t="inlineStr">
        <is>
          <t>来週のアクション</t>
        </is>
      </c>
    </row>
    <row r="23">
      <c r="A23" s="5" t="inlineStr">
        <is>
          <t xml:space="preserve">□ </t>
        </is>
      </c>
    </row>
    <row r="24">
      <c r="A24" s="5" t="inlineStr">
        <is>
          <t xml:space="preserve">□ </t>
        </is>
      </c>
    </row>
    <row r="25">
      <c r="A25" s="5" t="inlineStr">
        <is>
          <t xml:space="preserve">□ 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E8740C"/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cols>
    <col width="6" customWidth="1" min="1" max="1"/>
    <col width="16" customWidth="1" min="2" max="2"/>
    <col width="40" customWidth="1" min="3" max="3"/>
    <col width="10" customWidth="1" min="4" max="4"/>
    <col width="20" customWidth="1" min="5" max="5"/>
    <col width="35" customWidth="1" min="6" max="6"/>
  </cols>
  <sheetData>
    <row r="1">
      <c r="A1" s="4" t="inlineStr">
        <is>
          <t>ぺいほーむ 月次レビュー会議アジェンダ</t>
        </is>
      </c>
    </row>
    <row r="2">
      <c r="A2" s="5" t="inlineStr">
        <is>
          <t>開催日:</t>
        </is>
      </c>
      <c r="C2" s="5" t="inlineStr">
        <is>
          <t>参加者:</t>
        </is>
      </c>
    </row>
    <row r="4">
      <c r="A4" s="1" t="inlineStr">
        <is>
          <t>時間</t>
        </is>
      </c>
      <c r="B4" s="1" t="inlineStr">
        <is>
          <t>議題</t>
        </is>
      </c>
      <c r="C4" s="1" t="inlineStr">
        <is>
          <t>内容</t>
        </is>
      </c>
      <c r="D4" s="1" t="inlineStr">
        <is>
          <t>担当</t>
        </is>
      </c>
      <c r="E4" s="1" t="inlineStr">
        <is>
          <t>資料</t>
        </is>
      </c>
      <c r="F4" s="1" t="inlineStr">
        <is>
          <t>決定事項（会議中に記入）</t>
        </is>
      </c>
    </row>
    <row r="5">
      <c r="A5" s="3" t="inlineStr">
        <is>
          <t>5分</t>
        </is>
      </c>
      <c r="B5" s="3" t="inlineStr">
        <is>
          <t>先月の振り返り</t>
        </is>
      </c>
      <c r="C5" s="3" t="inlineStr">
        <is>
          <t>先月のアクション実施状況の確認</t>
        </is>
      </c>
      <c r="D5" s="3" t="inlineStr">
        <is>
          <t>全員</t>
        </is>
      </c>
      <c r="E5" s="3" t="inlineStr">
        <is>
          <t>前回議事録</t>
        </is>
      </c>
      <c r="F5" s="3" t="n"/>
    </row>
    <row r="6">
      <c r="A6" s="3" t="inlineStr">
        <is>
          <t>10分</t>
        </is>
      </c>
      <c r="B6" s="3" t="inlineStr">
        <is>
          <t>KPIレビュー</t>
        </is>
      </c>
      <c r="C6" s="3" t="inlineStr">
        <is>
          <t>月次KPI実績と目標比較。傾向分析</t>
        </is>
      </c>
      <c r="D6" s="3" t="inlineStr">
        <is>
          <t>PM</t>
        </is>
      </c>
      <c r="E6" s="3" t="inlineStr">
        <is>
          <t>KPI一覧シート</t>
        </is>
      </c>
      <c r="F6" s="3" t="n"/>
    </row>
    <row r="7">
      <c r="A7" s="3" t="inlineStr">
        <is>
          <t>10分</t>
        </is>
      </c>
      <c r="B7" s="3" t="inlineStr">
        <is>
          <t>営業進捗</t>
        </is>
      </c>
      <c r="C7" s="3" t="inlineStr">
        <is>
          <t>パートナー営業の進捗。新規アプローチ結果。パイプライン状況</t>
        </is>
      </c>
      <c r="D7" s="3" t="inlineStr">
        <is>
          <t>営業</t>
        </is>
      </c>
      <c r="E7" s="3" t="inlineStr">
        <is>
          <t>メール営業管理シート</t>
        </is>
      </c>
      <c r="F7" s="3" t="n"/>
    </row>
    <row r="8">
      <c r="A8" s="3" t="inlineStr">
        <is>
          <t>10分</t>
        </is>
      </c>
      <c r="B8" s="3" t="inlineStr">
        <is>
          <t>コンテンツ進捗</t>
        </is>
      </c>
      <c r="C8" s="3" t="inlineStr">
        <is>
          <t>動画・記事の制作状況。再生数・PV。コンテンツカレンダーの進捗</t>
        </is>
      </c>
      <c r="D8" s="3" t="inlineStr">
        <is>
          <t>コンテンツ</t>
        </is>
      </c>
      <c r="E8" s="3" t="inlineStr">
        <is>
          <t>コンテンツカレンダー</t>
        </is>
      </c>
      <c r="F8" s="3" t="n"/>
    </row>
    <row r="9">
      <c r="A9" s="3" t="inlineStr">
        <is>
          <t>10分</t>
        </is>
      </c>
      <c r="B9" s="3" t="inlineStr">
        <is>
          <t>掲載品質</t>
        </is>
      </c>
      <c r="C9" s="3" t="inlineStr">
        <is>
          <t>監査の進捗。リライト状況。工務店情報の更新状況</t>
        </is>
      </c>
      <c r="D9" s="3" t="inlineStr">
        <is>
          <t>コンテンツ</t>
        </is>
      </c>
      <c r="E9" s="3" t="inlineStr">
        <is>
          <t>掲載内容監査シート</t>
        </is>
      </c>
      <c r="F9" s="3" t="n"/>
    </row>
    <row r="10">
      <c r="A10" s="3" t="inlineStr">
        <is>
          <t>10分</t>
        </is>
      </c>
      <c r="B10" s="3" t="inlineStr">
        <is>
          <t>来月の計画</t>
        </is>
      </c>
      <c r="C10" s="3" t="inlineStr">
        <is>
          <t>来月の優先Todo確認。目標設定。リソース配分</t>
        </is>
      </c>
      <c r="D10" s="3" t="inlineStr">
        <is>
          <t>経営</t>
        </is>
      </c>
      <c r="E10" s="3" t="inlineStr">
        <is>
          <t>ガントチャート</t>
        </is>
      </c>
      <c r="F10" s="3" t="n"/>
    </row>
    <row r="11">
      <c r="A11" s="3" t="inlineStr">
        <is>
          <t>5分</t>
        </is>
      </c>
      <c r="B11" s="3" t="inlineStr">
        <is>
          <t>課題・懸念事項</t>
        </is>
      </c>
      <c r="C11" s="3" t="inlineStr">
        <is>
          <t>解決が必要な問題の共有と対応方針の決定</t>
        </is>
      </c>
      <c r="D11" s="3" t="inlineStr">
        <is>
          <t>全員</t>
        </is>
      </c>
      <c r="E11" s="3" t="n"/>
      <c r="F11" s="3" t="n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BBDEFB"/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12" customWidth="1" min="1" max="1"/>
    <col width="30" customWidth="1" min="2" max="2"/>
    <col width="30" customWidth="1" min="3" max="3"/>
    <col width="30" customWidth="1" min="4" max="4"/>
    <col width="30" customWidth="1" min="5" max="5"/>
    <col width="30" customWidth="1" min="6" max="6"/>
    <col width="30" customWidth="1" min="7" max="7"/>
  </cols>
  <sheetData>
    <row r="1">
      <c r="A1" s="1" t="inlineStr">
        <is>
          <t>四半期</t>
        </is>
      </c>
      <c r="B1" s="1" t="inlineStr">
        <is>
          <t>テーマ</t>
        </is>
      </c>
      <c r="C1" s="1" t="inlineStr">
        <is>
          <t>取得するデータ</t>
        </is>
      </c>
      <c r="D1" s="1" t="inlineStr">
        <is>
          <t>活用方法</t>
        </is>
      </c>
      <c r="E1" s="1" t="inlineStr">
        <is>
          <t>事業側で決めること</t>
        </is>
      </c>
      <c r="F1" s="1" t="inlineStr">
        <is>
          <t>エンジニアに依頼すること</t>
        </is>
      </c>
      <c r="G1" s="1" t="inlineStr">
        <is>
          <t>成果イメージ</t>
        </is>
      </c>
    </row>
    <row r="2" ht="100" customHeight="1">
      <c r="A2" s="3" t="inlineStr">
        <is>
          <t>Q2 2026
(4-6月)</t>
        </is>
      </c>
      <c r="B2" s="3" t="inlineStr">
        <is>
          <t>データを貯める</t>
        </is>
      </c>
      <c r="C2" s="3" t="inlineStr">
        <is>
          <t>ページ閲覧/動画視聴/チャットログ/お気に入り/リード流入元</t>
        </is>
      </c>
      <c r="D2" s="3" t="inlineStr">
        <is>
          <t>月次レポートで傾向を把握。「どの動画からCVが多いか」を分析</t>
        </is>
      </c>
      <c r="E2" s="3" t="inlineStr">
        <is>
          <t>KPIの優先順位/レポートの形式/確認頻度</t>
        </is>
      </c>
      <c r="F2" s="3" t="inlineStr">
        <is>
          <t>GA4カスタムイベント設定/レポート自動化</t>
        </is>
      </c>
      <c r="G2" s="3" t="inlineStr">
        <is>
          <t>月次データレポート第1号</t>
        </is>
      </c>
    </row>
    <row r="3" ht="100" customHeight="1">
      <c r="A3" s="3" t="inlineStr">
        <is>
          <t>Q3 2026
(7-9月)</t>
        </is>
      </c>
      <c r="B3" s="3" t="inlineStr">
        <is>
          <t>データを使い始める</t>
        </is>
      </c>
      <c r="C3" s="3" t="inlineStr">
        <is>
          <t>ユーザープロフィール/チャット意向抽出/閲覧傾向</t>
        </is>
      </c>
      <c r="D3" s="3" t="inlineStr">
        <is>
          <t>AIチャットの回答にデータを反映。「この人に合いそうな工務店」の推薦ロジック初期版</t>
        </is>
      </c>
      <c r="E3" s="3" t="inlineStr">
        <is>
          <t>推薦の基準（何を重視するか）/工務店の構造化データ入力</t>
        </is>
      </c>
      <c r="F3" s="3" t="inlineStr">
        <is>
          <t>推薦ロジック実装/意向抽出API</t>
        </is>
      </c>
      <c r="G3" s="3" t="inlineStr">
        <is>
          <t>AI推薦初期版のテスト</t>
        </is>
      </c>
    </row>
    <row r="4" ht="100" customHeight="1">
      <c r="A4" s="3" t="inlineStr">
        <is>
          <t>Q4 2026
(10-12月)</t>
        </is>
      </c>
      <c r="B4" s="3" t="inlineStr">
        <is>
          <t>データで提案する</t>
        </is>
      </c>
      <c r="C4" s="3" t="inlineStr">
        <is>
          <t>意向データ付きリード/行動スコアリング/成約データ</t>
        </is>
      </c>
      <c r="D4" s="3" t="inlineStr">
        <is>
          <t>工務店に「この人は○○に関心があり、温度感は高い」と伝える。商談前要約の初期版</t>
        </is>
      </c>
      <c r="E4" s="3" t="inlineStr">
        <is>
          <t>リードの価格設定（データ付きリード=高単価）/工務店へのレポート内容</t>
        </is>
      </c>
      <c r="F4" s="3" t="inlineStr">
        <is>
          <t>商談前要約生成/スコアリングUI</t>
        </is>
      </c>
      <c r="G4" s="3" t="inlineStr">
        <is>
          <t>意向データ付きリードの初回提供</t>
        </is>
      </c>
    </row>
    <row r="5" ht="100" customHeight="1">
      <c r="A5" s="3" t="inlineStr">
        <is>
          <t>2027年
Q1以降</t>
        </is>
      </c>
      <c r="B5" s="3" t="inlineStr">
        <is>
          <t>AIが進化する</t>
        </is>
      </c>
      <c r="C5" s="3" t="inlineStr">
        <is>
          <t>全データの統合分析/成約パターン/next best action</t>
        </is>
      </c>
      <c r="D5" s="3" t="inlineStr">
        <is>
          <t>AI住宅コンシェルジュ本格稼働。営業支援SaaSの初期版</t>
        </is>
      </c>
      <c r="E5" s="3" t="inlineStr">
        <is>
          <t>SaaS化の価格/ターゲット/営業戦略</t>
        </is>
      </c>
      <c r="F5" s="3" t="inlineStr">
        <is>
          <t>AIコンシェルジュ高度化/SaaS UI</t>
        </is>
      </c>
      <c r="G5" s="3" t="inlineStr">
        <is>
          <t>AI営業支援の初期リリース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tabColor rgb="00E8740C"/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30" customWidth="1" min="1" max="1"/>
    <col width="60" customWidth="1" min="2" max="2"/>
    <col width="15" customWidth="1" min="3" max="3"/>
  </cols>
  <sheetData>
    <row r="1">
      <c r="A1" s="4" t="inlineStr">
        <is>
          <t>経営管理 使い方ガイド</t>
        </is>
      </c>
    </row>
    <row r="2">
      <c r="A2" s="5" t="inlineStr">
        <is>
          <t>請求管理</t>
        </is>
      </c>
      <c r="B2" t="inlineStr">
        <is>
          <t>請求記録台帳。企業情報/品目/金額を記録し経理部に共有。月次サマリーで請求・入金状況を一覧化。フリー会計の請求書No.と紐付けて管理。プルダウンで入金状況を管理</t>
        </is>
      </c>
    </row>
    <row r="4">
      <c r="A4" s="8" t="inlineStr">
        <is>
          <t>シート名</t>
        </is>
      </c>
      <c r="B4" s="8" t="inlineStr">
        <is>
          <t>用途・使い方</t>
        </is>
      </c>
      <c r="C4" s="8" t="inlineStr">
        <is>
          <t>更新頻度</t>
        </is>
      </c>
    </row>
    <row r="5">
      <c r="A5" s="2" t="inlineStr">
        <is>
          <t>月次P_L</t>
        </is>
      </c>
      <c r="B5" s="3" t="inlineStr">
        <is>
          <t>月次の損益計算。売上6項目/経費5項目/営業利益/累計損益を管理。数式で自動計算</t>
        </is>
      </c>
      <c r="C5" s="3" t="inlineStr">
        <is>
          <t>月次</t>
        </is>
      </c>
    </row>
    <row r="6">
      <c r="A6" s="2" t="inlineStr">
        <is>
          <t>週次KPIレポート</t>
        </is>
      </c>
      <c r="B6" s="3" t="inlineStr">
        <is>
          <t>毎週月曜のKPI確認用。11項目のKPIを先週比で追跡。アクション振り返り・来週計画を記入</t>
        </is>
      </c>
      <c r="C6" s="3" t="inlineStr">
        <is>
          <t>週次</t>
        </is>
      </c>
    </row>
    <row r="7">
      <c r="A7" s="2" t="inlineStr">
        <is>
          <t>月次レビュー</t>
        </is>
      </c>
      <c r="B7" s="3" t="inlineStr">
        <is>
          <t>月次レビュー会議のアジェンダ。7議題×60分の定型フォーマット</t>
        </is>
      </c>
      <c r="C7" s="3" t="inlineStr">
        <is>
          <t>月次</t>
        </is>
      </c>
    </row>
    <row r="8">
      <c r="A8" s="2" t="inlineStr">
        <is>
          <t>データ活用ロードマップ</t>
        </is>
      </c>
      <c r="B8" s="3" t="inlineStr">
        <is>
          <t>四半期ごとのデータ活用計画。Q2-Q4+2027年の取得データ/活用方法/意思決定事項</t>
        </is>
      </c>
      <c r="C8" s="3" t="inlineStr">
        <is>
          <t>四半期</t>
        </is>
      </c>
    </row>
    <row r="9">
      <c r="A9" s="2" t="inlineStr">
        <is>
          <t>請求テンプレート</t>
        </is>
      </c>
      <c r="B9" s="3" t="inlineStr">
        <is>
          <t>工務店への請求書テンプレート。品目/数量/単価/合計の自動計算</t>
        </is>
      </c>
      <c r="C9" s="3" t="inlineStr">
        <is>
          <t>請求時</t>
        </is>
      </c>
    </row>
    <row r="11">
      <c r="A11" s="9" t="inlineStr">
        <is>
          <t>関連ファイル</t>
        </is>
      </c>
    </row>
    <row r="12">
      <c r="A12" s="3" t="inlineStr">
        <is>
          <t>payhome_project_management.xlsx</t>
        </is>
      </c>
      <c r="B12" s="3" t="inlineStr">
        <is>
          <t>事業全体のTodo・ガントチャート・進捗管理</t>
        </is>
      </c>
    </row>
    <row r="13">
      <c r="A13" s="3" t="inlineStr">
        <is>
          <t>payhome_sales.xlsx</t>
        </is>
      </c>
      <c r="B13" s="3" t="inlineStr">
        <is>
          <t>営業提案フロー・メールDM・工務店ヒアリング・ペルソナ</t>
        </is>
      </c>
    </row>
    <row r="14">
      <c r="A14" s="3" t="inlineStr">
        <is>
          <t>payhome_content.xlsx</t>
        </is>
      </c>
      <c r="B14" s="3" t="inlineStr">
        <is>
          <t>コンテンツカレンダー・YouTube戦略・動画企画・掲載監査</t>
        </is>
      </c>
    </row>
    <row r="15">
      <c r="A15" s="3" t="inlineStr">
        <is>
          <t>payhome_finance_kpi.xlsx</t>
        </is>
      </c>
      <c r="B15" s="3" t="inlineStr">
        <is>
          <t>月次P/L・KPIレポート・請求・データ活用ロードマップ</t>
        </is>
      </c>
    </row>
    <row r="16">
      <c r="A16" s="3" t="inlineStr">
        <is>
          <t>payhome_sales_deck.pptx</t>
        </is>
      </c>
      <c r="B16" s="3" t="inlineStr">
        <is>
          <t>営業提案書（PowerPoint）</t>
        </is>
      </c>
    </row>
    <row r="17">
      <c r="A17" s="3" t="inlineStr">
        <is>
          <t>contract_template.docx</t>
        </is>
      </c>
      <c r="B17" s="3" t="inlineStr">
        <is>
          <t>契約書テンプレート（Word）</t>
        </is>
      </c>
    </row>
    <row r="18">
      <c r="A18" s="3" t="inlineStr">
        <is>
          <t>listing_standards.docx</t>
        </is>
      </c>
      <c r="B18" s="3" t="inlineStr">
        <is>
          <t>掲載基準書・品質管理ガイド（Word）</t>
        </is>
      </c>
    </row>
    <row r="19">
      <c r="A19" s="3" t="inlineStr">
        <is>
          <t>operations_manual.docx</t>
        </is>
      </c>
      <c r="B19" s="3" t="inlineStr">
        <is>
          <t>オペレーションマニュアル（Word）</t>
        </is>
      </c>
    </row>
  </sheetData>
  <mergeCells count="1">
    <mergeCell ref="A1:C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M33"/>
  <sheetViews>
    <sheetView workbookViewId="0">
      <selection activeCell="A1" sqref="A1"/>
    </sheetView>
  </sheetViews>
  <sheetFormatPr baseColWidth="8" defaultRowHeight="15"/>
  <cols>
    <col width="30" customWidth="1" min="1" max="1"/>
    <col width="14" customWidth="1" min="2" max="2"/>
    <col width="14" customWidth="1" min="3" max="3"/>
    <col width="16" customWidth="1" min="4" max="4"/>
    <col width="14" customWidth="1" min="5" max="5"/>
    <col width="10" customWidth="1" min="6" max="6"/>
    <col width="14" customWidth="1" min="7" max="7"/>
    <col width="27" customWidth="1" min="8" max="8"/>
    <col width="8" customWidth="1" min="9" max="9"/>
    <col width="12" customWidth="1" min="10" max="10"/>
    <col width="26" customWidth="1" min="11" max="11"/>
    <col width="10" customWidth="1" min="12" max="12"/>
    <col width="16" customWidth="1" min="13" max="13"/>
  </cols>
  <sheetData>
    <row r="1" ht="35" customHeight="1">
      <c r="A1" s="16" t="inlineStr">
        <is>
          <t>ぺいほーむ 1億円逆算ダッシュボード</t>
        </is>
      </c>
    </row>
    <row r="2"/>
    <row r="3">
      <c r="A3" s="17" t="inlineStr">
        <is>
          <t>年間目標分解</t>
        </is>
      </c>
    </row>
    <row r="4">
      <c r="A4" s="18" t="inlineStr">
        <is>
          <t>収益源</t>
        </is>
      </c>
      <c r="B4" s="18" t="inlineStr">
        <is>
          <t>単価</t>
        </is>
      </c>
      <c r="C4" s="18" t="inlineStr">
        <is>
          <t>月間目標件数</t>
        </is>
      </c>
      <c r="D4" s="18" t="inlineStr">
        <is>
          <t>年間目標件数</t>
        </is>
      </c>
      <c r="E4" s="18" t="inlineStr">
        <is>
          <t>年間売上目標</t>
        </is>
      </c>
      <c r="F4" s="18" t="inlineStr">
        <is>
          <t>構成比</t>
        </is>
      </c>
      <c r="G4" s="18" t="inlineStr">
        <is>
          <t>実績累計</t>
        </is>
      </c>
      <c r="H4" s="18" t="inlineStr">
        <is>
          <t>達成率</t>
        </is>
      </c>
    </row>
    <row r="5">
      <c r="A5" s="19" t="inlineStr">
        <is>
          <t>資料請求</t>
        </is>
      </c>
      <c r="B5" s="19" t="inlineStr">
        <is>
          <t>8,000</t>
        </is>
      </c>
      <c r="C5" s="19" t="n">
        <v>150</v>
      </c>
      <c r="D5" s="19" t="inlineStr">
        <is>
          <t>1,800</t>
        </is>
      </c>
      <c r="E5" s="19" t="inlineStr">
        <is>
          <t>1,440万</t>
        </is>
      </c>
      <c r="F5" s="19" t="inlineStr">
        <is>
          <t>11%</t>
        </is>
      </c>
      <c r="G5" s="19" t="n"/>
      <c r="H5" s="19">
        <f>IF(G5="","",G5/E5)</f>
        <v/>
      </c>
    </row>
    <row r="6">
      <c r="A6" s="20" t="inlineStr">
        <is>
          <t>見学会来場</t>
        </is>
      </c>
      <c r="B6" s="20" t="inlineStr">
        <is>
          <t>80,000</t>
        </is>
      </c>
      <c r="C6" s="20" t="n">
        <v>70</v>
      </c>
      <c r="D6" s="20" t="n">
        <v>840</v>
      </c>
      <c r="E6" s="20" t="inlineStr">
        <is>
          <t>6,720万</t>
        </is>
      </c>
      <c r="F6" s="20" t="inlineStr">
        <is>
          <t>53%</t>
        </is>
      </c>
      <c r="G6" s="20" t="n"/>
      <c r="H6" s="20">
        <f>IF(G6="","",G6/E6)</f>
        <v/>
      </c>
    </row>
    <row r="7">
      <c r="A7" s="19" t="inlineStr">
        <is>
          <t>成約報酬</t>
        </is>
      </c>
      <c r="B7" s="19" t="inlineStr">
        <is>
          <t>1,000,000</t>
        </is>
      </c>
      <c r="C7" s="19" t="n">
        <v>2.5</v>
      </c>
      <c r="D7" s="19" t="n">
        <v>30</v>
      </c>
      <c r="E7" s="19" t="inlineStr">
        <is>
          <t>3,000万</t>
        </is>
      </c>
      <c r="F7" s="19" t="inlineStr">
        <is>
          <t>24%</t>
        </is>
      </c>
      <c r="G7" s="19" t="n"/>
      <c r="H7" s="19">
        <f>IF(G7="","",G7/E7)</f>
        <v/>
      </c>
    </row>
    <row r="8">
      <c r="A8" s="20" t="inlineStr">
        <is>
          <t>掲載料</t>
        </is>
      </c>
      <c r="B8" s="20" t="inlineStr">
        <is>
          <t>40,000/月</t>
        </is>
      </c>
      <c r="C8" s="20" t="inlineStr">
        <is>
          <t>30社</t>
        </is>
      </c>
      <c r="D8" s="20" t="inlineStr">
        <is>
          <t>-</t>
        </is>
      </c>
      <c r="E8" s="20" t="inlineStr">
        <is>
          <t>1,440万</t>
        </is>
      </c>
      <c r="F8" s="20" t="inlineStr">
        <is>
          <t>11%</t>
        </is>
      </c>
      <c r="G8" s="20" t="n"/>
      <c r="H8" s="20">
        <f>IF(G8="","",G8/E8)</f>
        <v/>
      </c>
    </row>
    <row r="9">
      <c r="A9" s="21" t="inlineStr">
        <is>
          <t>合計</t>
        </is>
      </c>
      <c r="B9" s="21" t="inlineStr">
        <is>
          <t>-</t>
        </is>
      </c>
      <c r="C9" s="21" t="inlineStr">
        <is>
          <t>-</t>
        </is>
      </c>
      <c r="D9" s="21" t="inlineStr">
        <is>
          <t>-</t>
        </is>
      </c>
      <c r="E9" s="21" t="inlineStr">
        <is>
          <t>12,600万</t>
        </is>
      </c>
      <c r="F9" s="21" t="inlineStr">
        <is>
          <t>100%</t>
        </is>
      </c>
      <c r="G9" s="21">
        <f>SUM(G5:G8)</f>
        <v/>
      </c>
      <c r="H9" s="21">
        <f>IF(G9=0,"",G9/126000000)</f>
        <v/>
      </c>
    </row>
    <row r="10"/>
    <row r="11"/>
    <row r="12">
      <c r="A12" s="17" t="inlineStr">
        <is>
          <t>月次売上トラッキング</t>
        </is>
      </c>
    </row>
    <row r="13">
      <c r="A13" s="18" t="inlineStr">
        <is>
          <t>月</t>
        </is>
      </c>
      <c r="B13" s="18" t="inlineStr">
        <is>
          <t>資料請求件数</t>
        </is>
      </c>
      <c r="C13" s="18" t="inlineStr">
        <is>
          <t>資料請求売上</t>
        </is>
      </c>
      <c r="D13" s="18" t="inlineStr">
        <is>
          <t>見学会件数</t>
        </is>
      </c>
      <c r="E13" s="18" t="inlineStr">
        <is>
          <t>見学会売上</t>
        </is>
      </c>
      <c r="F13" s="18" t="inlineStr">
        <is>
          <t>成約件数</t>
        </is>
      </c>
      <c r="G13" s="18" t="inlineStr">
        <is>
          <t>成約報酬</t>
        </is>
      </c>
      <c r="H13" s="18" t="inlineStr">
        <is>
          <t>掲載料</t>
        </is>
      </c>
      <c r="I13" s="18" t="inlineStr">
        <is>
          <t>撮影費</t>
        </is>
      </c>
      <c r="J13" s="18" t="inlineStr">
        <is>
          <t>マーケ支援</t>
        </is>
      </c>
      <c r="K13" s="18" t="inlineStr">
        <is>
          <t>月間合計</t>
        </is>
      </c>
      <c r="L13" s="18" t="inlineStr">
        <is>
          <t>累計</t>
        </is>
      </c>
      <c r="M13" s="18" t="inlineStr">
        <is>
          <t>1億円達成率</t>
        </is>
      </c>
    </row>
    <row r="14">
      <c r="A14" s="19" t="inlineStr">
        <is>
          <t>5月</t>
        </is>
      </c>
      <c r="B14" s="19" t="n"/>
      <c r="C14" s="19">
        <f>B14*8000</f>
        <v/>
      </c>
      <c r="D14" s="19" t="n"/>
      <c r="E14" s="19">
        <f>D14*80000</f>
        <v/>
      </c>
      <c r="F14" s="19" t="n"/>
      <c r="G14" s="19">
        <f>F14*1000000</f>
        <v/>
      </c>
      <c r="H14" s="19" t="n"/>
      <c r="I14" s="19" t="n"/>
      <c r="J14" s="19" t="n"/>
      <c r="K14" s="19">
        <f>C14+E14+G14+H14+I14+J14</f>
        <v/>
      </c>
      <c r="L14" s="19">
        <f>K14</f>
        <v/>
      </c>
      <c r="M14" s="22">
        <f>L14/100000000</f>
        <v/>
      </c>
    </row>
    <row r="15">
      <c r="A15" s="20" t="inlineStr">
        <is>
          <t>6月</t>
        </is>
      </c>
      <c r="B15" s="20" t="n"/>
      <c r="C15" s="20">
        <f>B15*8000</f>
        <v/>
      </c>
      <c r="D15" s="20" t="n"/>
      <c r="E15" s="20">
        <f>D15*80000</f>
        <v/>
      </c>
      <c r="F15" s="20" t="n"/>
      <c r="G15" s="20">
        <f>F15*1000000</f>
        <v/>
      </c>
      <c r="H15" s="20" t="n"/>
      <c r="I15" s="20" t="n"/>
      <c r="J15" s="20" t="n"/>
      <c r="K15" s="20">
        <f>C15+E15+G15+H15+I15+J15</f>
        <v/>
      </c>
      <c r="L15" s="20">
        <f>L14+K15</f>
        <v/>
      </c>
      <c r="M15" s="23">
        <f>L15/100000000</f>
        <v/>
      </c>
    </row>
    <row r="16">
      <c r="A16" s="19" t="inlineStr">
        <is>
          <t>7月</t>
        </is>
      </c>
      <c r="B16" s="19" t="n"/>
      <c r="C16" s="19">
        <f>B16*8000</f>
        <v/>
      </c>
      <c r="D16" s="19" t="n"/>
      <c r="E16" s="19">
        <f>D16*80000</f>
        <v/>
      </c>
      <c r="F16" s="19" t="n"/>
      <c r="G16" s="19">
        <f>F16*1000000</f>
        <v/>
      </c>
      <c r="H16" s="19" t="n"/>
      <c r="I16" s="19" t="n"/>
      <c r="J16" s="19" t="n"/>
      <c r="K16" s="19">
        <f>C16+E16+G16+H16+I16+J16</f>
        <v/>
      </c>
      <c r="L16" s="19">
        <f>L15+K16</f>
        <v/>
      </c>
      <c r="M16" s="22">
        <f>L16/100000000</f>
        <v/>
      </c>
    </row>
    <row r="17">
      <c r="A17" s="20" t="inlineStr">
        <is>
          <t>8月</t>
        </is>
      </c>
      <c r="B17" s="20" t="n"/>
      <c r="C17" s="20">
        <f>B17*8000</f>
        <v/>
      </c>
      <c r="D17" s="20" t="n"/>
      <c r="E17" s="20">
        <f>D17*80000</f>
        <v/>
      </c>
      <c r="F17" s="20" t="n"/>
      <c r="G17" s="20">
        <f>F17*1000000</f>
        <v/>
      </c>
      <c r="H17" s="20" t="n"/>
      <c r="I17" s="20" t="n"/>
      <c r="J17" s="20" t="n"/>
      <c r="K17" s="20">
        <f>C17+E17+G17+H17+I17+J17</f>
        <v/>
      </c>
      <c r="L17" s="20">
        <f>L16+K17</f>
        <v/>
      </c>
      <c r="M17" s="23">
        <f>L17/100000000</f>
        <v/>
      </c>
    </row>
    <row r="18">
      <c r="A18" s="19" t="inlineStr">
        <is>
          <t>9月</t>
        </is>
      </c>
      <c r="B18" s="19" t="n"/>
      <c r="C18" s="19">
        <f>B18*8000</f>
        <v/>
      </c>
      <c r="D18" s="19" t="n"/>
      <c r="E18" s="19">
        <f>D18*80000</f>
        <v/>
      </c>
      <c r="F18" s="19" t="n"/>
      <c r="G18" s="19">
        <f>F18*1000000</f>
        <v/>
      </c>
      <c r="H18" s="19" t="n"/>
      <c r="I18" s="19" t="n"/>
      <c r="J18" s="19" t="n"/>
      <c r="K18" s="19">
        <f>C18+E18+G18+H18+I18+J18</f>
        <v/>
      </c>
      <c r="L18" s="19">
        <f>L17+K18</f>
        <v/>
      </c>
      <c r="M18" s="22">
        <f>L18/100000000</f>
        <v/>
      </c>
    </row>
    <row r="19">
      <c r="A19" s="20" t="inlineStr">
        <is>
          <t>10月</t>
        </is>
      </c>
      <c r="B19" s="20" t="n"/>
      <c r="C19" s="20">
        <f>B19*8000</f>
        <v/>
      </c>
      <c r="D19" s="20" t="n"/>
      <c r="E19" s="20">
        <f>D19*80000</f>
        <v/>
      </c>
      <c r="F19" s="20" t="n"/>
      <c r="G19" s="20">
        <f>F19*1000000</f>
        <v/>
      </c>
      <c r="H19" s="20" t="n"/>
      <c r="I19" s="20" t="n"/>
      <c r="J19" s="20" t="n"/>
      <c r="K19" s="20">
        <f>C19+E19+G19+H19+I19+J19</f>
        <v/>
      </c>
      <c r="L19" s="20">
        <f>L18+K19</f>
        <v/>
      </c>
      <c r="M19" s="23">
        <f>L19/100000000</f>
        <v/>
      </c>
    </row>
    <row r="20">
      <c r="A20" s="19" t="inlineStr">
        <is>
          <t>11月</t>
        </is>
      </c>
      <c r="B20" s="19" t="n"/>
      <c r="C20" s="19">
        <f>B20*8000</f>
        <v/>
      </c>
      <c r="D20" s="19" t="n"/>
      <c r="E20" s="19">
        <f>D20*80000</f>
        <v/>
      </c>
      <c r="F20" s="19" t="n"/>
      <c r="G20" s="19">
        <f>F20*1000000</f>
        <v/>
      </c>
      <c r="H20" s="19" t="n"/>
      <c r="I20" s="19" t="n"/>
      <c r="J20" s="19" t="n"/>
      <c r="K20" s="19">
        <f>C20+E20+G20+H20+I20+J20</f>
        <v/>
      </c>
      <c r="L20" s="19">
        <f>L19+K20</f>
        <v/>
      </c>
      <c r="M20" s="22">
        <f>L20/100000000</f>
        <v/>
      </c>
    </row>
    <row r="21">
      <c r="A21" s="20" t="inlineStr">
        <is>
          <t>12月</t>
        </is>
      </c>
      <c r="B21" s="20" t="n"/>
      <c r="C21" s="20">
        <f>B21*8000</f>
        <v/>
      </c>
      <c r="D21" s="20" t="n"/>
      <c r="E21" s="20">
        <f>D21*80000</f>
        <v/>
      </c>
      <c r="F21" s="20" t="n"/>
      <c r="G21" s="20">
        <f>F21*1000000</f>
        <v/>
      </c>
      <c r="H21" s="20" t="n"/>
      <c r="I21" s="20" t="n"/>
      <c r="J21" s="20" t="n"/>
      <c r="K21" s="20">
        <f>C21+E21+G21+H21+I21+J21</f>
        <v/>
      </c>
      <c r="L21" s="20">
        <f>L20+K21</f>
        <v/>
      </c>
      <c r="M21" s="23">
        <f>L21/100000000</f>
        <v/>
      </c>
    </row>
    <row r="22">
      <c r="A22" s="19" t="inlineStr">
        <is>
          <t>1月</t>
        </is>
      </c>
      <c r="B22" s="19" t="n"/>
      <c r="C22" s="19">
        <f>B22*8000</f>
        <v/>
      </c>
      <c r="D22" s="19" t="n"/>
      <c r="E22" s="19">
        <f>D22*80000</f>
        <v/>
      </c>
      <c r="F22" s="19" t="n"/>
      <c r="G22" s="19">
        <f>F22*1000000</f>
        <v/>
      </c>
      <c r="H22" s="19" t="n"/>
      <c r="I22" s="19" t="n"/>
      <c r="J22" s="19" t="n"/>
      <c r="K22" s="19">
        <f>C22+E22+G22+H22+I22+J22</f>
        <v/>
      </c>
      <c r="L22" s="19">
        <f>L21+K22</f>
        <v/>
      </c>
      <c r="M22" s="22">
        <f>L22/100000000</f>
        <v/>
      </c>
    </row>
    <row r="23">
      <c r="A23" s="20" t="inlineStr">
        <is>
          <t>2月</t>
        </is>
      </c>
      <c r="B23" s="20" t="n"/>
      <c r="C23" s="20">
        <f>B23*8000</f>
        <v/>
      </c>
      <c r="D23" s="20" t="n"/>
      <c r="E23" s="20">
        <f>D23*80000</f>
        <v/>
      </c>
      <c r="F23" s="20" t="n"/>
      <c r="G23" s="20">
        <f>F23*1000000</f>
        <v/>
      </c>
      <c r="H23" s="20" t="n"/>
      <c r="I23" s="20" t="n"/>
      <c r="J23" s="20" t="n"/>
      <c r="K23" s="20">
        <f>C23+E23+G23+H23+I23+J23</f>
        <v/>
      </c>
      <c r="L23" s="20">
        <f>L22+K23</f>
        <v/>
      </c>
      <c r="M23" s="23">
        <f>L23/100000000</f>
        <v/>
      </c>
    </row>
    <row r="24">
      <c r="A24" s="19" t="inlineStr">
        <is>
          <t>3月</t>
        </is>
      </c>
      <c r="B24" s="19" t="n"/>
      <c r="C24" s="19">
        <f>B24*8000</f>
        <v/>
      </c>
      <c r="D24" s="19" t="n"/>
      <c r="E24" s="19">
        <f>D24*80000</f>
        <v/>
      </c>
      <c r="F24" s="19" t="n"/>
      <c r="G24" s="19">
        <f>F24*1000000</f>
        <v/>
      </c>
      <c r="H24" s="19" t="n"/>
      <c r="I24" s="19" t="n"/>
      <c r="J24" s="19" t="n"/>
      <c r="K24" s="19">
        <f>C24+E24+G24+H24+I24+J24</f>
        <v/>
      </c>
      <c r="L24" s="19">
        <f>L23+K24</f>
        <v/>
      </c>
      <c r="M24" s="22">
        <f>L24/100000000</f>
        <v/>
      </c>
    </row>
    <row r="25">
      <c r="A25" s="20" t="inlineStr">
        <is>
          <t>4月</t>
        </is>
      </c>
      <c r="B25" s="20" t="n"/>
      <c r="C25" s="20">
        <f>B25*8000</f>
        <v/>
      </c>
      <c r="D25" s="20" t="n"/>
      <c r="E25" s="20">
        <f>D25*80000</f>
        <v/>
      </c>
      <c r="F25" s="20" t="n"/>
      <c r="G25" s="20">
        <f>F25*1000000</f>
        <v/>
      </c>
      <c r="H25" s="20" t="n"/>
      <c r="I25" s="20" t="n"/>
      <c r="J25" s="20" t="n"/>
      <c r="K25" s="20">
        <f>C25+E25+G25+H25+I25+J25</f>
        <v/>
      </c>
      <c r="L25" s="20">
        <f>L24+K25</f>
        <v/>
      </c>
      <c r="M25" s="23">
        <f>L25/100000000</f>
        <v/>
      </c>
    </row>
    <row r="26"/>
    <row r="27"/>
    <row r="28">
      <c r="A28" s="17" t="inlineStr">
        <is>
          <t>1社あたりの月間目標</t>
        </is>
      </c>
    </row>
    <row r="29">
      <c r="A29" s="18" t="inlineStr">
        <is>
          <t>指標</t>
        </is>
      </c>
      <c r="B29" s="18" t="inlineStr">
        <is>
          <t>50社平均</t>
        </is>
      </c>
      <c r="C29" s="18" t="inlineStr">
        <is>
          <t>上位15社平均</t>
        </is>
      </c>
      <c r="D29" s="18" t="inlineStr">
        <is>
          <t>その他35社平均</t>
        </is>
      </c>
    </row>
    <row r="30">
      <c r="A30" s="19" t="inlineStr">
        <is>
          <t>資料請求</t>
        </is>
      </c>
      <c r="B30" s="19" t="inlineStr">
        <is>
          <t>3件</t>
        </is>
      </c>
      <c r="C30" s="19" t="inlineStr">
        <is>
          <t>6件</t>
        </is>
      </c>
      <c r="D30" s="19" t="inlineStr">
        <is>
          <t>1.7件</t>
        </is>
      </c>
    </row>
    <row r="31">
      <c r="A31" s="20" t="inlineStr">
        <is>
          <t>見学会来場</t>
        </is>
      </c>
      <c r="B31" s="20" t="inlineStr">
        <is>
          <t>1.4件</t>
        </is>
      </c>
      <c r="C31" s="20" t="inlineStr">
        <is>
          <t>3件</t>
        </is>
      </c>
      <c r="D31" s="20" t="inlineStr">
        <is>
          <t>0.7件</t>
        </is>
      </c>
    </row>
    <row r="32">
      <c r="A32" s="19" t="inlineStr">
        <is>
          <t>成約</t>
        </is>
      </c>
      <c r="B32" s="19" t="inlineStr">
        <is>
          <t>0.05棟</t>
        </is>
      </c>
      <c r="C32" s="19" t="inlineStr">
        <is>
          <t>0.13棟</t>
        </is>
      </c>
      <c r="D32" s="19" t="inlineStr">
        <is>
          <t>0件</t>
        </is>
      </c>
    </row>
    <row r="33"/>
  </sheetData>
  <mergeCells count="4">
    <mergeCell ref="A28:D28"/>
    <mergeCell ref="A3:H3"/>
    <mergeCell ref="A12:M12"/>
    <mergeCell ref="A1:H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K1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0" customWidth="1" min="3" max="3"/>
    <col width="23" customWidth="1" min="4" max="4"/>
    <col width="12" customWidth="1" min="5" max="5"/>
    <col width="23" customWidth="1" min="6" max="6"/>
    <col width="8" customWidth="1" min="7" max="7"/>
    <col width="23" customWidth="1" min="8" max="8"/>
    <col width="8" customWidth="1" min="9" max="9"/>
    <col width="23" customWidth="1" min="10" max="10"/>
    <col width="14" customWidth="1" min="11" max="11"/>
  </cols>
  <sheetData>
    <row r="1">
      <c r="A1" s="18" t="inlineStr">
        <is>
          <t>月</t>
        </is>
      </c>
      <c r="B1" s="18" t="inlineStr">
        <is>
          <t>PF訪問者</t>
        </is>
      </c>
      <c r="C1" s="18" t="inlineStr">
        <is>
          <t>資料請求</t>
        </is>
      </c>
      <c r="D1" s="18" t="inlineStr">
        <is>
          <t>転換率</t>
        </is>
      </c>
      <c r="E1" s="18" t="inlineStr">
        <is>
          <t>見学会予約</t>
        </is>
      </c>
      <c r="F1" s="18" t="inlineStr">
        <is>
          <t>転換率</t>
        </is>
      </c>
      <c r="G1" s="18" t="inlineStr">
        <is>
          <t>商談</t>
        </is>
      </c>
      <c r="H1" s="18" t="inlineStr">
        <is>
          <t>転換率</t>
        </is>
      </c>
      <c r="I1" s="18" t="inlineStr">
        <is>
          <t>成約</t>
        </is>
      </c>
      <c r="J1" s="18" t="inlineStr">
        <is>
          <t>転換率</t>
        </is>
      </c>
      <c r="K1" s="18" t="inlineStr">
        <is>
          <t>成約報酬</t>
        </is>
      </c>
    </row>
    <row r="2">
      <c r="A2" s="19" t="inlineStr">
        <is>
          <t>5月</t>
        </is>
      </c>
      <c r="B2" s="19" t="n"/>
      <c r="C2" s="19" t="n"/>
      <c r="D2" s="22">
        <f>IF(B2=0,"",C2/B2)</f>
        <v/>
      </c>
      <c r="E2" s="19" t="n"/>
      <c r="F2" s="22">
        <f>IF(B2=0,"",E2/B2)</f>
        <v/>
      </c>
      <c r="G2" s="19" t="n"/>
      <c r="H2" s="22">
        <f>IF(B2=0,"",G2/B2)</f>
        <v/>
      </c>
      <c r="I2" s="19" t="n"/>
      <c r="J2" s="22">
        <f>IF(B2=0,"",I2/B2)</f>
        <v/>
      </c>
      <c r="K2" s="24">
        <f>I2*1000000</f>
        <v/>
      </c>
    </row>
    <row r="3">
      <c r="A3" s="20" t="inlineStr">
        <is>
          <t>6月</t>
        </is>
      </c>
      <c r="B3" s="20" t="n"/>
      <c r="C3" s="20" t="n"/>
      <c r="D3" s="23">
        <f>IF(B3=0,"",C3/B3)</f>
        <v/>
      </c>
      <c r="E3" s="20" t="n"/>
      <c r="F3" s="23">
        <f>IF(B3=0,"",E3/B3)</f>
        <v/>
      </c>
      <c r="G3" s="20" t="n"/>
      <c r="H3" s="23">
        <f>IF(B3=0,"",G3/B3)</f>
        <v/>
      </c>
      <c r="I3" s="20" t="n"/>
      <c r="J3" s="23">
        <f>IF(B3=0,"",I3/B3)</f>
        <v/>
      </c>
      <c r="K3" s="25">
        <f>I3*1000000</f>
        <v/>
      </c>
    </row>
    <row r="4">
      <c r="A4" s="19" t="inlineStr">
        <is>
          <t>7月</t>
        </is>
      </c>
      <c r="B4" s="19" t="n"/>
      <c r="C4" s="19" t="n"/>
      <c r="D4" s="22">
        <f>IF(B4=0,"",C4/B4)</f>
        <v/>
      </c>
      <c r="E4" s="19" t="n"/>
      <c r="F4" s="22">
        <f>IF(B4=0,"",E4/B4)</f>
        <v/>
      </c>
      <c r="G4" s="19" t="n"/>
      <c r="H4" s="22">
        <f>IF(B4=0,"",G4/B4)</f>
        <v/>
      </c>
      <c r="I4" s="19" t="n"/>
      <c r="J4" s="22">
        <f>IF(B4=0,"",I4/B4)</f>
        <v/>
      </c>
      <c r="K4" s="24">
        <f>I4*1000000</f>
        <v/>
      </c>
    </row>
    <row r="5">
      <c r="A5" s="20" t="inlineStr">
        <is>
          <t>8月</t>
        </is>
      </c>
      <c r="B5" s="20" t="n"/>
      <c r="C5" s="20" t="n"/>
      <c r="D5" s="23">
        <f>IF(B5=0,"",C5/B5)</f>
        <v/>
      </c>
      <c r="E5" s="20" t="n"/>
      <c r="F5" s="23">
        <f>IF(B5=0,"",E5/B5)</f>
        <v/>
      </c>
      <c r="G5" s="20" t="n"/>
      <c r="H5" s="23">
        <f>IF(B5=0,"",G5/B5)</f>
        <v/>
      </c>
      <c r="I5" s="20" t="n"/>
      <c r="J5" s="23">
        <f>IF(B5=0,"",I5/B5)</f>
        <v/>
      </c>
      <c r="K5" s="25">
        <f>I5*1000000</f>
        <v/>
      </c>
    </row>
    <row r="6">
      <c r="A6" s="19" t="inlineStr">
        <is>
          <t>9月</t>
        </is>
      </c>
      <c r="B6" s="19" t="n"/>
      <c r="C6" s="19" t="n"/>
      <c r="D6" s="22">
        <f>IF(B6=0,"",C6/B6)</f>
        <v/>
      </c>
      <c r="E6" s="19" t="n"/>
      <c r="F6" s="22">
        <f>IF(B6=0,"",E6/B6)</f>
        <v/>
      </c>
      <c r="G6" s="19" t="n"/>
      <c r="H6" s="22">
        <f>IF(B6=0,"",G6/B6)</f>
        <v/>
      </c>
      <c r="I6" s="19" t="n"/>
      <c r="J6" s="22">
        <f>IF(B6=0,"",I6/B6)</f>
        <v/>
      </c>
      <c r="K6" s="24">
        <f>I6*1000000</f>
        <v/>
      </c>
    </row>
    <row r="7">
      <c r="A7" s="20" t="inlineStr">
        <is>
          <t>10月</t>
        </is>
      </c>
      <c r="B7" s="20" t="n"/>
      <c r="C7" s="20" t="n"/>
      <c r="D7" s="23">
        <f>IF(B7=0,"",C7/B7)</f>
        <v/>
      </c>
      <c r="E7" s="20" t="n"/>
      <c r="F7" s="23">
        <f>IF(B7=0,"",E7/B7)</f>
        <v/>
      </c>
      <c r="G7" s="20" t="n"/>
      <c r="H7" s="23">
        <f>IF(B7=0,"",G7/B7)</f>
        <v/>
      </c>
      <c r="I7" s="20" t="n"/>
      <c r="J7" s="23">
        <f>IF(B7=0,"",I7/B7)</f>
        <v/>
      </c>
      <c r="K7" s="25">
        <f>I7*1000000</f>
        <v/>
      </c>
    </row>
    <row r="8">
      <c r="A8" s="19" t="inlineStr">
        <is>
          <t>11月</t>
        </is>
      </c>
      <c r="B8" s="19" t="n"/>
      <c r="C8" s="19" t="n"/>
      <c r="D8" s="22">
        <f>IF(B8=0,"",C8/B8)</f>
        <v/>
      </c>
      <c r="E8" s="19" t="n"/>
      <c r="F8" s="22">
        <f>IF(B8=0,"",E8/B8)</f>
        <v/>
      </c>
      <c r="G8" s="19" t="n"/>
      <c r="H8" s="22">
        <f>IF(B8=0,"",G8/B8)</f>
        <v/>
      </c>
      <c r="I8" s="19" t="n"/>
      <c r="J8" s="22">
        <f>IF(B8=0,"",I8/B8)</f>
        <v/>
      </c>
      <c r="K8" s="24">
        <f>I8*1000000</f>
        <v/>
      </c>
    </row>
    <row r="9">
      <c r="A9" s="20" t="inlineStr">
        <is>
          <t>12月</t>
        </is>
      </c>
      <c r="B9" s="20" t="n"/>
      <c r="C9" s="20" t="n"/>
      <c r="D9" s="23">
        <f>IF(B9=0,"",C9/B9)</f>
        <v/>
      </c>
      <c r="E9" s="20" t="n"/>
      <c r="F9" s="23">
        <f>IF(B9=0,"",E9/B9)</f>
        <v/>
      </c>
      <c r="G9" s="20" t="n"/>
      <c r="H9" s="23">
        <f>IF(B9=0,"",G9/B9)</f>
        <v/>
      </c>
      <c r="I9" s="20" t="n"/>
      <c r="J9" s="23">
        <f>IF(B9=0,"",I9/B9)</f>
        <v/>
      </c>
      <c r="K9" s="25">
        <f>I9*1000000</f>
        <v/>
      </c>
    </row>
    <row r="10">
      <c r="A10" s="19" t="inlineStr">
        <is>
          <t>1月</t>
        </is>
      </c>
      <c r="B10" s="19" t="n"/>
      <c r="C10" s="19" t="n"/>
      <c r="D10" s="22">
        <f>IF(B10=0,"",C10/B10)</f>
        <v/>
      </c>
      <c r="E10" s="19" t="n"/>
      <c r="F10" s="22">
        <f>IF(B10=0,"",E10/B10)</f>
        <v/>
      </c>
      <c r="G10" s="19" t="n"/>
      <c r="H10" s="22">
        <f>IF(B10=0,"",G10/B10)</f>
        <v/>
      </c>
      <c r="I10" s="19" t="n"/>
      <c r="J10" s="22">
        <f>IF(B10=0,"",I10/B10)</f>
        <v/>
      </c>
      <c r="K10" s="24">
        <f>I10*1000000</f>
        <v/>
      </c>
    </row>
    <row r="11">
      <c r="A11" s="20" t="inlineStr">
        <is>
          <t>2月</t>
        </is>
      </c>
      <c r="B11" s="20" t="n"/>
      <c r="C11" s="20" t="n"/>
      <c r="D11" s="23">
        <f>IF(B11=0,"",C11/B11)</f>
        <v/>
      </c>
      <c r="E11" s="20" t="n"/>
      <c r="F11" s="23">
        <f>IF(B11=0,"",E11/B11)</f>
        <v/>
      </c>
      <c r="G11" s="20" t="n"/>
      <c r="H11" s="23">
        <f>IF(B11=0,"",G11/B11)</f>
        <v/>
      </c>
      <c r="I11" s="20" t="n"/>
      <c r="J11" s="23">
        <f>IF(B11=0,"",I11/B11)</f>
        <v/>
      </c>
      <c r="K11" s="25">
        <f>I11*1000000</f>
        <v/>
      </c>
    </row>
    <row r="12">
      <c r="A12" s="19" t="inlineStr">
        <is>
          <t>3月</t>
        </is>
      </c>
      <c r="B12" s="19" t="n"/>
      <c r="C12" s="19" t="n"/>
      <c r="D12" s="22">
        <f>IF(B12=0,"",C12/B12)</f>
        <v/>
      </c>
      <c r="E12" s="19" t="n"/>
      <c r="F12" s="22">
        <f>IF(B12=0,"",E12/B12)</f>
        <v/>
      </c>
      <c r="G12" s="19" t="n"/>
      <c r="H12" s="22">
        <f>IF(B12=0,"",G12/B12)</f>
        <v/>
      </c>
      <c r="I12" s="19" t="n"/>
      <c r="J12" s="22">
        <f>IF(B12=0,"",I12/B12)</f>
        <v/>
      </c>
      <c r="K12" s="24">
        <f>I12*1000000</f>
        <v/>
      </c>
    </row>
    <row r="13">
      <c r="A13" s="20" t="inlineStr">
        <is>
          <t>4月</t>
        </is>
      </c>
      <c r="B13" s="20" t="n"/>
      <c r="C13" s="20" t="n"/>
      <c r="D13" s="23">
        <f>IF(B13=0,"",C13/B13)</f>
        <v/>
      </c>
      <c r="E13" s="20" t="n"/>
      <c r="F13" s="23">
        <f>IF(B13=0,"",E13/B13)</f>
        <v/>
      </c>
      <c r="G13" s="20" t="n"/>
      <c r="H13" s="23">
        <f>IF(B13=0,"",G13/B13)</f>
        <v/>
      </c>
      <c r="I13" s="20" t="n"/>
      <c r="J13" s="23">
        <f>IF(B13=0,"",I13/B13)</f>
        <v/>
      </c>
      <c r="K13" s="25">
        <f>I13*1000000</f>
        <v/>
      </c>
    </row>
    <row r="14"/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2026-03-22T00:14:19Z</dcterms:created>
  <dcterms:modified xmlns:dcterms="http://purl.org/dc/terms/" xmlns:xsi="http://www.w3.org/2001/XMLSchema-instance" xsi:type="dcterms:W3CDTF">2026-03-26T23:15:45Z</dcterms:modified>
</cp:coreProperties>
</file>