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ダッシュボード" sheetId="1" state="visible" r:id="rId1"/>
    <sheet xmlns:r="http://schemas.openxmlformats.org/officeDocument/2006/relationships" name="戦略概要" sheetId="2" state="visible" r:id="rId2"/>
    <sheet xmlns:r="http://schemas.openxmlformats.org/officeDocument/2006/relationships" name="料金プラン" sheetId="3" state="visible" r:id="rId3"/>
    <sheet xmlns:r="http://schemas.openxmlformats.org/officeDocument/2006/relationships" name="テレアポ管理（鹿児島）" sheetId="4" state="visible" r:id="rId4"/>
    <sheet xmlns:r="http://schemas.openxmlformats.org/officeDocument/2006/relationships" name="テレアポ管理（全国）" sheetId="5" state="visible" r:id="rId5"/>
    <sheet xmlns:r="http://schemas.openxmlformats.org/officeDocument/2006/relationships" name="リードパイプライン" sheetId="6" state="visible" r:id="rId6"/>
    <sheet xmlns:r="http://schemas.openxmlformats.org/officeDocument/2006/relationships" name="タスク管理" sheetId="7" state="visible" r:id="rId7"/>
    <sheet xmlns:r="http://schemas.openxmlformats.org/officeDocument/2006/relationships" name="KPI管理" sheetId="8" state="visible" r:id="rId8"/>
    <sheet xmlns:r="http://schemas.openxmlformats.org/officeDocument/2006/relationships" name="収益シミュレーション" sheetId="9" state="visible" r:id="rId9"/>
    <sheet xmlns:r="http://schemas.openxmlformats.org/officeDocument/2006/relationships" name="メールテンプレート" sheetId="10" state="visible" r:id="rId10"/>
    <sheet xmlns:r="http://schemas.openxmlformats.org/officeDocument/2006/relationships" name="月次レポートテンプレート" sheetId="11" state="visible" r:id="rId11"/>
    <sheet xmlns:r="http://schemas.openxmlformats.org/officeDocument/2006/relationships" name="ガントチャート" sheetId="12" state="visible" r:id="rId12"/>
    <sheet xmlns:r="http://schemas.openxmlformats.org/officeDocument/2006/relationships" name="担当別Todo" sheetId="13" state="visible" r:id="rId13"/>
    <sheet xmlns:r="http://schemas.openxmlformats.org/officeDocument/2006/relationships" name="使い方ガイド" sheetId="14" state="visible" r:id="rId14"/>
    <sheet xmlns:r="http://schemas.openxmlformats.org/officeDocument/2006/relationships" name="消費者フォローメール" sheetId="15" state="visible" r:id="rId15"/>
  </sheets>
  <definedNames>
    <definedName name="_xlnm._FilterDatabase" localSheetId="3" hidden="1">'テレアポ管理（鹿児島）'!$A$1:$V$100</definedName>
    <definedName name="_xlnm._FilterDatabase" localSheetId="4" hidden="1">'テレアポ管理（全国）'!$A$1:$X$100</definedName>
    <definedName name="_xlnm._FilterDatabase" localSheetId="5" hidden="1">'リードパイプライン'!$A$1:$M$100</definedName>
    <definedName name="_xlnm._FilterDatabase" localSheetId="6" hidden="1">'タスク管理'!$A$1:$L$100</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2E4057"/>
      <sz val="18"/>
    </font>
    <font>
      <name val="Arial"/>
      <color rgb="00666666"/>
      <sz val="9"/>
    </font>
    <font>
      <name val="Arial"/>
      <b val="1"/>
      <color rgb="002E4057"/>
      <sz val="20"/>
    </font>
    <font>
      <name val="Arial"/>
      <color rgb="00999999"/>
      <sz val="8"/>
    </font>
    <font>
      <name val="Arial"/>
      <b val="1"/>
      <color rgb="00E8740C"/>
      <sz val="14"/>
    </font>
    <font>
      <name val="Arial"/>
      <b val="1"/>
      <color rgb="002E4057"/>
      <sz val="11"/>
    </font>
    <font>
      <name val="Arial"/>
      <sz val="9"/>
    </font>
    <font>
      <name val="Arial"/>
      <b val="1"/>
      <color rgb="00FFFFFF"/>
      <sz val="11"/>
    </font>
    <font>
      <name val="Arial"/>
      <sz val="10"/>
    </font>
    <font>
      <name val="Arial"/>
      <b val="1"/>
      <sz val="10"/>
    </font>
    <font>
      <name val="Arial"/>
      <b val="1"/>
      <color rgb="00FFFFFF"/>
      <sz val="12"/>
    </font>
    <font>
      <name val="Arial"/>
      <color rgb="00FFFFFF"/>
      <sz val="7"/>
    </font>
  </fonts>
  <fills count="10">
    <fill>
      <patternFill/>
    </fill>
    <fill>
      <patternFill patternType="gray125"/>
    </fill>
    <fill>
      <patternFill patternType="solid">
        <fgColor rgb="00FFF3E6"/>
      </patternFill>
    </fill>
    <fill>
      <patternFill patternType="solid">
        <fgColor rgb="00D6EAF8"/>
      </patternFill>
    </fill>
    <fill>
      <patternFill patternType="solid">
        <fgColor rgb="00D5F5E3"/>
      </patternFill>
    </fill>
    <fill>
      <patternFill patternType="solid">
        <fgColor rgb="00FEF9E7"/>
      </patternFill>
    </fill>
    <fill>
      <patternFill patternType="solid">
        <fgColor rgb="00E8740C"/>
      </patternFill>
    </fill>
    <fill>
      <patternFill patternType="solid">
        <fgColor rgb="002E4057"/>
      </patternFill>
    </fill>
    <fill>
      <patternFill patternType="solid">
        <fgColor rgb="00FADBD8"/>
      </patternFill>
    </fill>
    <fill>
      <patternFill patternType="solid">
        <fgColor rgb="00F8F9FA"/>
      </patternFill>
    </fill>
  </fills>
  <borders count="7">
    <border>
      <left/>
      <right/>
      <top/>
      <bottom/>
      <diagonal/>
    </border>
    <border>
      <left style="thin">
        <color rgb="00D5D8DC"/>
      </left>
      <right style="thin">
        <color rgb="00D5D8DC"/>
      </right>
      <top style="thin">
        <color rgb="00D5D8DC"/>
      </top>
      <bottom style="thin">
        <color rgb="00D5D8DC"/>
      </bottom>
    </border>
    <border>
      <left/>
      <right/>
      <top style="thin">
        <color rgb="00D5D8DC"/>
      </top>
      <bottom/>
      <diagonal/>
    </border>
    <border>
      <left/>
      <right style="thin">
        <color rgb="00D5D8DC"/>
      </right>
      <top style="thin">
        <color rgb="00D5D8DC"/>
      </top>
      <bottom/>
      <diagonal/>
    </border>
    <border>
      <left/>
      <right style="thin">
        <color rgb="00D5D8DC"/>
      </right>
      <top style="thin">
        <color rgb="00D5D8DC"/>
      </top>
      <bottom style="thin">
        <color rgb="00D5D8DC"/>
      </bottom>
      <diagonal/>
    </border>
    <border>
      <left/>
      <right/>
      <top style="thin">
        <color rgb="00D5D8DC"/>
      </top>
      <bottom style="thin">
        <color rgb="00D5D8DC"/>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pivotButton="0" quotePrefix="0" xfId="0"/>
    <xf numFmtId="0" fontId="6"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0" borderId="1" applyAlignment="1" pivotButton="0" quotePrefix="0" xfId="0">
      <alignment vertical="top" wrapText="1"/>
    </xf>
    <xf numFmtId="0" fontId="9" fillId="8" borderId="1" applyAlignment="1" pivotButton="0" quotePrefix="0" xfId="0">
      <alignment vertical="top" wrapText="1"/>
    </xf>
    <xf numFmtId="0" fontId="9" fillId="9" borderId="1" applyAlignment="1" pivotButton="0" quotePrefix="0" xfId="0">
      <alignment vertical="top" wrapText="1"/>
    </xf>
    <xf numFmtId="0" fontId="5" fillId="2" borderId="0" pivotButton="0" quotePrefix="0" xfId="0"/>
    <xf numFmtId="0" fontId="10" fillId="0" borderId="1" pivotButton="0" quotePrefix="0" xfId="0"/>
    <xf numFmtId="3" fontId="9" fillId="0" borderId="1" applyAlignment="1" pivotButton="0" quotePrefix="0" xfId="0">
      <alignment vertical="top" wrapText="1"/>
    </xf>
    <xf numFmtId="3" fontId="9" fillId="9" borderId="1" applyAlignment="1" pivotButton="0" quotePrefix="0" xfId="0">
      <alignment vertical="top" wrapText="1"/>
    </xf>
    <xf numFmtId="0" fontId="9" fillId="4" borderId="1" applyAlignment="1" pivotButton="0" quotePrefix="0" xfId="0">
      <alignment vertical="top" wrapText="1"/>
    </xf>
    <xf numFmtId="0" fontId="10" fillId="5" borderId="1" pivotButton="0" quotePrefix="0" xfId="0"/>
    <xf numFmtId="0" fontId="5" fillId="8" borderId="0" pivotButton="0" quotePrefix="0" xfId="0"/>
    <xf numFmtId="3" fontId="10" fillId="0" borderId="1" pivotButton="0" quotePrefix="0" xfId="0"/>
    <xf numFmtId="0" fontId="5" fillId="4" borderId="0" pivotButton="0" quotePrefix="0" xfId="0"/>
    <xf numFmtId="0" fontId="5" fillId="3" borderId="0" pivotButton="0" quotePrefix="0" xfId="0"/>
    <xf numFmtId="0" fontId="10" fillId="0" borderId="1" applyAlignment="1" pivotButton="0" quotePrefix="0" xfId="0">
      <alignment vertical="top" wrapText="1"/>
    </xf>
    <xf numFmtId="0" fontId="0" fillId="0" borderId="1" applyAlignment="1" pivotButton="0" quotePrefix="0" xfId="0">
      <alignment vertical="top" wrapText="1"/>
    </xf>
    <xf numFmtId="0" fontId="11" fillId="7" borderId="1" pivotButton="0" quotePrefix="0" xfId="0"/>
    <xf numFmtId="0" fontId="9" fillId="0" borderId="1" pivotButton="0" quotePrefix="0" xfId="0"/>
    <xf numFmtId="0" fontId="12" fillId="7" borderId="1" applyAlignment="1" pivotButton="0" quotePrefix="0" xfId="0">
      <alignment horizontal="center" vertical="center" wrapText="1"/>
    </xf>
    <xf numFmtId="0" fontId="0" fillId="5" borderId="1" pivotButton="0" quotePrefix="0" xfId="0"/>
    <xf numFmtId="0" fontId="0" fillId="4" borderId="1" pivotButton="0" quotePrefix="0" xfId="0"/>
    <xf numFmtId="0" fontId="0" fillId="3" borderId="1" pivotButton="0" quotePrefix="0" xfId="0"/>
    <xf numFmtId="0" fontId="0" fillId="8" borderId="1" pivotButton="0" quotePrefix="0" xfId="0"/>
    <xf numFmtId="0" fontId="0" fillId="2" borderId="1" pivotButton="0" quotePrefix="0" xfId="0"/>
    <xf numFmtId="0" fontId="0" fillId="6" borderId="1" pivotButton="0" quotePrefix="0" xfId="0"/>
    <xf numFmtId="0" fontId="0" fillId="0" borderId="4" pivotButton="0" quotePrefix="0" xfId="0"/>
    <xf numFmtId="0" fontId="0" fillId="0" borderId="5" pivotButton="0" quotePrefix="0" xfId="0"/>
    <xf numFmtId="0" fontId="8" fillId="7" borderId="6" applyAlignment="1" pivotButton="0" quotePrefix="0" xfId="0">
      <alignment vertical="center" wrapText="1"/>
    </xf>
    <xf numFmtId="0" fontId="9" fillId="0" borderId="6" applyAlignment="1" pivotButton="0" quotePrefix="0" xfId="0">
      <alignment vertical="top" wrapText="1"/>
    </xf>
    <xf numFmtId="0" fontId="9" fillId="9"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740C"/>
    <outlinePr summaryBelow="1" summaryRight="1"/>
    <pageSetUpPr/>
  </sheetPr>
  <dimension ref="A1:J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40" customHeight="1">
      <c r="A1" s="1" t="inlineStr">
        <is>
          <t>ぺいほーむ 営業ダッシュボード</t>
        </is>
      </c>
    </row>
    <row r="3">
      <c r="A3" s="2" t="inlineStr">
        <is>
          <t>PF掲載
申込社数</t>
        </is>
      </c>
      <c r="B3" s="2" t="inlineStr">
        <is>
          <t>マーケ支援
契約社数</t>
        </is>
      </c>
      <c r="C3" s="3" t="inlineStr">
        <is>
          <t>今月売上</t>
        </is>
      </c>
      <c r="D3" s="3" t="inlineStr">
        <is>
          <t>累計売上</t>
        </is>
      </c>
      <c r="E3" s="4" t="inlineStr">
        <is>
          <t>テレアポ
累計</t>
        </is>
      </c>
      <c r="F3" s="4" t="inlineStr">
        <is>
          <t>商談数</t>
        </is>
      </c>
      <c r="G3" s="4" t="inlineStr">
        <is>
          <t>タスク
完了率</t>
        </is>
      </c>
    </row>
    <row r="4">
      <c r="A4" s="5">
        <f>COUNTIFS('テレアポ管理（鹿児島）'!T2:T100,"申込済み")</f>
        <v/>
      </c>
      <c r="B4" s="5">
        <f>COUNTIFS('テレアポ管理（全国）'!U2:U100,"契約済み")</f>
        <v/>
      </c>
      <c r="C4" s="5" t="n"/>
      <c r="D4" s="5" t="n"/>
      <c r="E4" s="5">
        <f>COUNTA('テレアポ管理（鹿児島）'!K2:K100)+COUNTA('テレアポ管理（全国）'!K2:K100)</f>
        <v/>
      </c>
      <c r="F4" s="5">
        <f>COUNTIFS('テレアポ管理（鹿児島）'!T2:T100,"商談済み")+COUNTIFS('テレアポ管理（鹿児島）'!T2:T100,"申込済み")+COUNTIFS('テレアポ管理（全国）'!U2:U100,"商談済み")+COUNTIFS('テレアポ管理（全国）'!U2:U100,"契約済み")</f>
        <v/>
      </c>
      <c r="G4" s="6">
        <f>IFERROR(COUNTIFS(タスク管理!I2:I100,"完了")/COUNTA(タスク管理!A2:A100),0)</f>
        <v/>
      </c>
    </row>
    <row r="5">
      <c r="A5" s="7" t="inlineStr">
        <is>
          <t>目標: 20社</t>
        </is>
      </c>
      <c r="B5" s="7" t="inlineStr">
        <is>
          <t>目標: 3社</t>
        </is>
      </c>
    </row>
    <row r="7" ht="25" customHeight="1">
      <c r="A7" s="8" t="inlineStr">
        <is>
          <t>現在のフェーズ</t>
        </is>
      </c>
    </row>
    <row r="8">
      <c r="A8" s="9" t="inlineStr">
        <is>
          <t>4月</t>
        </is>
      </c>
      <c r="B8" s="39" t="n"/>
      <c r="C8" s="10" t="inlineStr">
        <is>
          <t>5/1</t>
        </is>
      </c>
      <c r="D8" s="39" t="n"/>
      <c r="E8" s="11" t="inlineStr">
        <is>
          <t>5〜7月</t>
        </is>
      </c>
      <c r="F8" s="39" t="n"/>
      <c r="G8" s="10" t="inlineStr">
        <is>
          <t>8/1</t>
        </is>
      </c>
      <c r="H8" s="39" t="n"/>
      <c r="I8" s="12" t="inlineStr">
        <is>
          <t>8〜12月</t>
        </is>
      </c>
      <c r="J8" s="39" t="n"/>
    </row>
    <row r="9">
      <c r="A9" s="13" t="inlineStr">
        <is>
          <t>営業準備
テレアポ</t>
        </is>
      </c>
      <c r="B9" s="39" t="n"/>
      <c r="C9" s="13" t="inlineStr">
        <is>
          <t>リリース</t>
        </is>
      </c>
      <c r="D9" s="39" t="n"/>
      <c r="E9" s="13" t="inlineStr">
        <is>
          <t>フリープラン
データ蓄積</t>
        </is>
      </c>
      <c r="F9" s="39" t="n"/>
      <c r="G9" s="13" t="inlineStr">
        <is>
          <t>有料移行</t>
        </is>
      </c>
      <c r="H9" s="39" t="n"/>
      <c r="I9" s="13" t="inlineStr">
        <is>
          <t>有料運用
クロスセル</t>
        </is>
      </c>
      <c r="J9" s="39" t="n"/>
    </row>
    <row r="11">
      <c r="A11" s="8" t="inlineStr">
        <is>
          <t>直近のアクション</t>
        </is>
      </c>
    </row>
    <row r="12">
      <c r="A12" s="14" t="inlineStr">
        <is>
          <t>時期</t>
        </is>
      </c>
      <c r="B12" s="14" t="inlineStr">
        <is>
          <t>アクション</t>
        </is>
      </c>
      <c r="C12" s="14" t="inlineStr">
        <is>
          <t>優先度</t>
        </is>
      </c>
    </row>
    <row r="13">
      <c r="A13" s="15" t="inlineStr">
        <is>
          <t>今週</t>
        </is>
      </c>
      <c r="B13" s="15" t="inlineStr">
        <is>
          <t>テレアポリスト50社作成＋営業資料最終確認＋ロープレ実施</t>
        </is>
      </c>
      <c r="C13" s="16" t="inlineStr">
        <is>
          <t>高</t>
        </is>
      </c>
    </row>
    <row r="14">
      <c r="A14" s="17" t="inlineStr">
        <is>
          <t>来週</t>
        </is>
      </c>
      <c r="B14" s="17" t="inlineStr">
        <is>
          <t>テレアポ開始（鹿児島80件＋全国40件）</t>
        </is>
      </c>
      <c r="C14" s="16" t="inlineStr">
        <is>
          <t>高</t>
        </is>
      </c>
    </row>
    <row r="15">
      <c r="A15" s="15" t="inlineStr">
        <is>
          <t>4/14</t>
        </is>
      </c>
      <c r="B15" s="15" t="inlineStr">
        <is>
          <t>フリープラン申込クロージング（期限4/20）</t>
        </is>
      </c>
      <c r="C15" s="16" t="inlineStr">
        <is>
          <t>高</t>
        </is>
      </c>
    </row>
    <row r="16">
      <c r="A16" s="17" t="inlineStr">
        <is>
          <t>4/21</t>
        </is>
      </c>
      <c r="B16" s="17" t="inlineStr">
        <is>
          <t>掲載ページ作成開始</t>
        </is>
      </c>
      <c r="C16" s="17" t="inlineStr">
        <is>
          <t>中</t>
        </is>
      </c>
    </row>
    <row r="17">
      <c r="A17" s="15" t="inlineStr">
        <is>
          <t>5/1</t>
        </is>
      </c>
      <c r="B17" s="15" t="inlineStr">
        <is>
          <t>プラットフォームリリース</t>
        </is>
      </c>
      <c r="C17" s="16" t="inlineStr">
        <is>
          <t>高</t>
        </is>
      </c>
    </row>
  </sheetData>
  <mergeCells count="13">
    <mergeCell ref="A1:H1"/>
    <mergeCell ref="E9:F9"/>
    <mergeCell ref="G8:H8"/>
    <mergeCell ref="A7:H7"/>
    <mergeCell ref="C9:D9"/>
    <mergeCell ref="A11:H11"/>
    <mergeCell ref="I9:J9"/>
    <mergeCell ref="I8:J8"/>
    <mergeCell ref="A9:B9"/>
    <mergeCell ref="G9:H9"/>
    <mergeCell ref="A8:B8"/>
    <mergeCell ref="E8:F8"/>
    <mergeCell ref="C8:D8"/>
  </mergeCells>
  <pageMargins left="0.75" right="0.75" top="1" bottom="1" header="0.5" footer="0.5"/>
</worksheet>
</file>

<file path=xl/worksheets/sheet2.xml><?xml version="1.0" encoding="utf-8"?>
<worksheet xmlns="http://schemas.openxmlformats.org/spreadsheetml/2006/main">
  <sheetPr>
    <tabColor rgb="002E4057"/>
    <outlinePr summaryBelow="1" summaryRight="1"/>
    <pageSetUpPr/>
  </sheetPr>
  <dimension ref="A1:F27"/>
  <sheetViews>
    <sheetView workbookViewId="0">
      <selection activeCell="A1" sqref="A1"/>
    </sheetView>
  </sheetViews>
  <sheetFormatPr baseColWidth="8" defaultRowHeight="15"/>
  <cols>
    <col width="20" customWidth="1" min="1" max="1"/>
    <col width="18" customWidth="1" min="2" max="2"/>
    <col width="18" customWidth="1" min="3" max="3"/>
    <col width="18" customWidth="1" min="4" max="4"/>
    <col width="18" customWidth="1" min="5" max="5"/>
    <col width="40" customWidth="1" min="6" max="6"/>
  </cols>
  <sheetData>
    <row r="1" ht="35" customHeight="1">
      <c r="A1" s="1" t="inlineStr">
        <is>
          <t>ぺいほーむ 事業戦略概要</t>
        </is>
      </c>
    </row>
    <row r="3" ht="28" customHeight="1">
      <c r="A3" s="18" t="inlineStr">
        <is>
          <t>事業の2本柱</t>
        </is>
      </c>
    </row>
    <row r="4" ht="40" customHeight="1">
      <c r="A4" s="19" t="inlineStr">
        <is>
          <t>プラットフォーム掲載</t>
        </is>
      </c>
      <c r="B4" s="15" t="inlineStr">
        <is>
          <t>鹿児島→九州。フリープラン→有料化。長期の事業基盤。データ×AI進化</t>
        </is>
      </c>
      <c r="C4" s="40" t="n"/>
      <c r="D4" s="40" t="n"/>
      <c r="E4" s="40" t="n"/>
      <c r="F4" s="39" t="n"/>
    </row>
    <row r="5" ht="40" customHeight="1">
      <c r="A5" s="19" t="inlineStr">
        <is>
          <t>マーケティング支援</t>
        </is>
      </c>
      <c r="B5" s="15" t="inlineStr">
        <is>
          <t>全国対応。動画・SNS運用代行。短期のキャッシュエンジン＋全国の工務店接点</t>
        </is>
      </c>
      <c r="C5" s="40" t="n"/>
      <c r="D5" s="40" t="n"/>
      <c r="E5" s="40" t="n"/>
      <c r="F5" s="39" t="n"/>
    </row>
    <row r="7" ht="28" customHeight="1">
      <c r="A7" s="18" t="inlineStr">
        <is>
          <t>フリープラン設計思想</t>
        </is>
      </c>
    </row>
    <row r="8" ht="40" customHeight="1">
      <c r="A8" s="19" t="inlineStr">
        <is>
          <t>なぜ無料か</t>
        </is>
      </c>
      <c r="B8" s="15" t="inlineStr">
        <is>
          <t>リリース直後はユーザーが少ない。少ないうちからお金をいただくのは筋が通らない。最初の3ヶ月は価値を証明する期間</t>
        </is>
      </c>
      <c r="C8" s="40" t="n"/>
      <c r="D8" s="40" t="n"/>
      <c r="E8" s="40" t="n"/>
      <c r="F8" s="39" t="n"/>
    </row>
    <row r="9" ht="40" customHeight="1">
      <c r="A9" s="19" t="inlineStr">
        <is>
          <t>3ヶ月後</t>
        </is>
      </c>
      <c r="B9" s="15" t="inlineStr">
        <is>
          <t>データレポートを提示。価値があれば有料化、なければやめてOK</t>
        </is>
      </c>
      <c r="C9" s="40" t="n"/>
      <c r="D9" s="40" t="n"/>
      <c r="E9" s="40" t="n"/>
      <c r="F9" s="39" t="n"/>
    </row>
    <row r="10" ht="40" customHeight="1">
      <c r="A10" s="19" t="inlineStr">
        <is>
          <t>有料化基準</t>
        </is>
      </c>
      <c r="B10" s="15" t="inlineStr">
        <is>
          <t>資料請求or見学会予約1件以上 or 月間閲覧100回以上</t>
        </is>
      </c>
      <c r="C10" s="40" t="n"/>
      <c r="D10" s="40" t="n"/>
      <c r="E10" s="40" t="n"/>
      <c r="F10" s="39" t="n"/>
    </row>
    <row r="12" ht="28" customHeight="1">
      <c r="A12" s="18" t="inlineStr">
        <is>
          <t>競争優位性</t>
        </is>
      </c>
    </row>
    <row r="13" ht="40" customHeight="1">
      <c r="A13" s="19" t="inlineStr">
        <is>
          <t>YouTube</t>
        </is>
      </c>
      <c r="B13" s="15" t="inlineStr">
        <is>
          <t>登録者42,841人 / 動画257本 / 月間15万回再生 / 九州No.1平屋専門ch</t>
        </is>
      </c>
      <c r="C13" s="40" t="n"/>
      <c r="D13" s="40" t="n"/>
      <c r="E13" s="40" t="n"/>
      <c r="F13" s="39" t="n"/>
    </row>
    <row r="14" ht="40" customHeight="1">
      <c r="A14" s="19" t="inlineStr">
        <is>
          <t>ターゲット純度</t>
        </is>
      </c>
      <c r="B14" s="15" t="inlineStr">
        <is>
          <t>視聴者の100%が平屋検討者。SUUMOは全ジャンル混在</t>
        </is>
      </c>
      <c r="C14" s="40" t="n"/>
      <c r="D14" s="40" t="n"/>
      <c r="E14" s="40" t="n"/>
      <c r="F14" s="39" t="n"/>
    </row>
    <row r="15" ht="40" customHeight="1">
      <c r="A15" s="19" t="inlineStr">
        <is>
          <t>制作コスト</t>
        </is>
      </c>
      <c r="B15" s="15" t="inlineStr">
        <is>
          <t>257本の実績でオペレーション確立。1本あたりコストが圧倒的に低い</t>
        </is>
      </c>
      <c r="C15" s="40" t="n"/>
      <c r="D15" s="40" t="n"/>
      <c r="E15" s="40" t="n"/>
      <c r="F15" s="39" t="n"/>
    </row>
    <row r="16" ht="40" customHeight="1">
      <c r="A16" s="19" t="inlineStr">
        <is>
          <t>反響単価</t>
        </is>
      </c>
      <c r="B16" s="15" t="inlineStr">
        <is>
          <t>目標1〜3万円。SUUMO平均5〜15万円の1/3〜1/5</t>
        </is>
      </c>
      <c r="C16" s="40" t="n"/>
      <c r="D16" s="40" t="n"/>
      <c r="E16" s="40" t="n"/>
      <c r="F16" s="39" t="n"/>
    </row>
    <row r="18">
      <c r="A18" s="18" t="inlineStr">
        <is>
          <t>収益シミュレーション（標準シナリオ）</t>
        </is>
      </c>
    </row>
    <row r="19">
      <c r="A19" s="14" t="inlineStr">
        <is>
          <t>月</t>
        </is>
      </c>
      <c r="B19" s="14" t="inlineStr">
        <is>
          <t>PF掲載売上</t>
        </is>
      </c>
      <c r="C19" s="14" t="inlineStr">
        <is>
          <t>マーケ支援売上</t>
        </is>
      </c>
      <c r="D19" s="14" t="inlineStr">
        <is>
          <t>月間合計</t>
        </is>
      </c>
      <c r="E19" s="14" t="inlineStr">
        <is>
          <t>累計</t>
        </is>
      </c>
    </row>
    <row r="20">
      <c r="A20" s="15" t="inlineStr">
        <is>
          <t>5月</t>
        </is>
      </c>
      <c r="B20" s="20" t="n">
        <v>0</v>
      </c>
      <c r="C20" s="20" t="n">
        <v>240000</v>
      </c>
      <c r="D20" s="20">
        <f>B20+C20</f>
        <v/>
      </c>
      <c r="E20" s="20">
        <f>D20</f>
        <v/>
      </c>
    </row>
    <row r="21">
      <c r="A21" s="17" t="inlineStr">
        <is>
          <t>6月</t>
        </is>
      </c>
      <c r="B21" s="21" t="n">
        <v>0</v>
      </c>
      <c r="C21" s="21" t="n">
        <v>360000</v>
      </c>
      <c r="D21" s="21">
        <f>B21+C21</f>
        <v/>
      </c>
      <c r="E21" s="21">
        <f>E20+D21</f>
        <v/>
      </c>
    </row>
    <row r="22">
      <c r="A22" s="15" t="inlineStr">
        <is>
          <t>7月</t>
        </is>
      </c>
      <c r="B22" s="20" t="n">
        <v>0</v>
      </c>
      <c r="C22" s="20" t="n">
        <v>480000</v>
      </c>
      <c r="D22" s="20">
        <f>B22+C22</f>
        <v/>
      </c>
      <c r="E22" s="20">
        <f>E21+D22</f>
        <v/>
      </c>
    </row>
    <row r="23">
      <c r="A23" s="17" t="inlineStr">
        <is>
          <t>8月</t>
        </is>
      </c>
      <c r="B23" s="21" t="n">
        <v>150000</v>
      </c>
      <c r="C23" s="21" t="n">
        <v>560000</v>
      </c>
      <c r="D23" s="21">
        <f>B23+C23</f>
        <v/>
      </c>
      <c r="E23" s="21">
        <f>E22+D23</f>
        <v/>
      </c>
    </row>
    <row r="24">
      <c r="A24" s="15" t="inlineStr">
        <is>
          <t>9月</t>
        </is>
      </c>
      <c r="B24" s="20" t="n">
        <v>200000</v>
      </c>
      <c r="C24" s="20" t="n">
        <v>640000</v>
      </c>
      <c r="D24" s="20">
        <f>B24+C24</f>
        <v/>
      </c>
      <c r="E24" s="20">
        <f>E23+D24</f>
        <v/>
      </c>
    </row>
    <row r="25">
      <c r="A25" s="17" t="inlineStr">
        <is>
          <t>10月</t>
        </is>
      </c>
      <c r="B25" s="21" t="n">
        <v>250000</v>
      </c>
      <c r="C25" s="21" t="n">
        <v>720000</v>
      </c>
      <c r="D25" s="21">
        <f>B25+C25</f>
        <v/>
      </c>
      <c r="E25" s="21">
        <f>E24+D25</f>
        <v/>
      </c>
    </row>
    <row r="26">
      <c r="A26" s="15" t="inlineStr">
        <is>
          <t>11月</t>
        </is>
      </c>
      <c r="B26" s="20" t="n">
        <v>280000</v>
      </c>
      <c r="C26" s="20" t="n">
        <v>800000</v>
      </c>
      <c r="D26" s="20">
        <f>B26+C26</f>
        <v/>
      </c>
      <c r="E26" s="20">
        <f>E25+D26</f>
        <v/>
      </c>
    </row>
    <row r="27">
      <c r="A27" s="17" t="inlineStr">
        <is>
          <t>12月</t>
        </is>
      </c>
      <c r="B27" s="21" t="n">
        <v>320000</v>
      </c>
      <c r="C27" s="21" t="n">
        <v>880000</v>
      </c>
      <c r="D27" s="21">
        <f>B27+C27</f>
        <v/>
      </c>
      <c r="E27" s="21">
        <f>E26+D27</f>
        <v/>
      </c>
    </row>
  </sheetData>
  <mergeCells count="14">
    <mergeCell ref="B4:F4"/>
    <mergeCell ref="B16:F16"/>
    <mergeCell ref="B15:F15"/>
    <mergeCell ref="B10:F10"/>
    <mergeCell ref="A1:F1"/>
    <mergeCell ref="B5:F5"/>
    <mergeCell ref="A12:F12"/>
    <mergeCell ref="A18:F18"/>
    <mergeCell ref="B14:F14"/>
    <mergeCell ref="A3:F3"/>
    <mergeCell ref="B8:F8"/>
    <mergeCell ref="B13:F13"/>
    <mergeCell ref="B9:F9"/>
    <mergeCell ref="A7:F7"/>
  </mergeCells>
  <pageMargins left="0.75" right="0.75" top="1" bottom="1" header="0.5" footer="0.5"/>
</worksheet>
</file>

<file path=xl/worksheets/sheet3.xml><?xml version="1.0" encoding="utf-8"?>
<worksheet xmlns="http://schemas.openxmlformats.org/spreadsheetml/2006/main">
  <sheetPr>
    <tabColor rgb="00E8740C"/>
    <outlinePr summaryBelow="1" summaryRight="1"/>
    <pageSetUpPr/>
  </sheetPr>
  <dimension ref="A1:H3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プラットフォーム掲載プラン</t>
        </is>
      </c>
    </row>
    <row r="3">
      <c r="A3" s="14" t="inlineStr">
        <is>
          <t>プラン名</t>
        </is>
      </c>
      <c r="B3" s="14" t="inlineStr">
        <is>
          <t>月額</t>
        </is>
      </c>
      <c r="C3" s="14" t="inlineStr">
        <is>
          <t>資料請求</t>
        </is>
      </c>
      <c r="D3" s="14" t="inlineStr">
        <is>
          <t>見学会来場</t>
        </is>
      </c>
      <c r="E3" s="14" t="inlineStr">
        <is>
          <t>住宅契約</t>
        </is>
      </c>
      <c r="F3" s="14" t="inlineStr">
        <is>
          <t>YouTube概要欄</t>
        </is>
      </c>
      <c r="G3" s="14" t="inlineStr">
        <is>
          <t>上位表示</t>
        </is>
      </c>
      <c r="H3" s="14" t="inlineStr">
        <is>
          <t>おすすめ対象</t>
        </is>
      </c>
    </row>
    <row r="4">
      <c r="A4" s="22" t="inlineStr">
        <is>
          <t>フリープラン</t>
        </is>
      </c>
      <c r="B4" s="22" t="inlineStr">
        <is>
          <t>0円</t>
        </is>
      </c>
      <c r="C4" s="22" t="inlineStr">
        <is>
          <t>0円</t>
        </is>
      </c>
      <c r="D4" s="22" t="inlineStr">
        <is>
          <t>0円</t>
        </is>
      </c>
      <c r="E4" s="22" t="inlineStr">
        <is>
          <t>0円</t>
        </is>
      </c>
      <c r="F4" s="22" t="inlineStr">
        <is>
          <t>❌</t>
        </is>
      </c>
      <c r="G4" s="22" t="inlineStr">
        <is>
          <t>❌</t>
        </is>
      </c>
      <c r="H4" s="22" t="inlineStr">
        <is>
          <t>全社（5〜7月）</t>
        </is>
      </c>
    </row>
    <row r="5">
      <c r="A5" s="17" t="inlineStr">
        <is>
          <t>成果報酬</t>
        </is>
      </c>
      <c r="B5" s="17" t="inlineStr">
        <is>
          <t>0円</t>
        </is>
      </c>
      <c r="C5" s="17" t="inlineStr">
        <is>
          <t>8,000円/件</t>
        </is>
      </c>
      <c r="D5" s="17" t="inlineStr">
        <is>
          <t>80,000円/件</t>
        </is>
      </c>
      <c r="E5" s="17" t="inlineStr">
        <is>
          <t>4%</t>
        </is>
      </c>
      <c r="F5" s="17" t="inlineStr">
        <is>
          <t>❌</t>
        </is>
      </c>
      <c r="G5" s="17" t="inlineStr">
        <is>
          <t>❌</t>
        </is>
      </c>
      <c r="H5" s="17" t="inlineStr">
        <is>
          <t>反響月2件以下</t>
        </is>
      </c>
    </row>
    <row r="6">
      <c r="A6" s="15" t="inlineStr">
        <is>
          <t>掲載ベーシック</t>
        </is>
      </c>
      <c r="B6" s="15" t="inlineStr">
        <is>
          <t>30,000円</t>
        </is>
      </c>
      <c r="C6" s="15" t="inlineStr">
        <is>
          <t>5,000円/件</t>
        </is>
      </c>
      <c r="D6" s="15" t="inlineStr">
        <is>
          <t>50,000円/件</t>
        </is>
      </c>
      <c r="E6" s="15" t="inlineStr">
        <is>
          <t>3%</t>
        </is>
      </c>
      <c r="F6" s="15" t="inlineStr">
        <is>
          <t>✅</t>
        </is>
      </c>
      <c r="G6" s="15" t="inlineStr">
        <is>
          <t>❌</t>
        </is>
      </c>
      <c r="H6" s="15" t="inlineStr">
        <is>
          <t>反響月3〜5件</t>
        </is>
      </c>
    </row>
    <row r="7">
      <c r="A7" s="17" t="inlineStr">
        <is>
          <t>掲載プロ</t>
        </is>
      </c>
      <c r="B7" s="17" t="inlineStr">
        <is>
          <t>50,000円</t>
        </is>
      </c>
      <c r="C7" s="17" t="inlineStr">
        <is>
          <t>3,000円/件</t>
        </is>
      </c>
      <c r="D7" s="17" t="inlineStr">
        <is>
          <t>30,000円/件</t>
        </is>
      </c>
      <c r="E7" s="17" t="inlineStr">
        <is>
          <t>2%</t>
        </is>
      </c>
      <c r="F7" s="17" t="inlineStr">
        <is>
          <t>✅</t>
        </is>
      </c>
      <c r="G7" s="17" t="inlineStr">
        <is>
          <t>✅</t>
        </is>
      </c>
      <c r="H7" s="17" t="inlineStr">
        <is>
          <t>反響月5件以上</t>
        </is>
      </c>
    </row>
    <row r="10">
      <c r="A10" s="1" t="inlineStr">
        <is>
          <t>マーケティング支援プラン</t>
        </is>
      </c>
    </row>
    <row r="12">
      <c r="A12" s="14" t="inlineStr">
        <is>
          <t>プラン名</t>
        </is>
      </c>
      <c r="B12" s="14" t="inlineStr">
        <is>
          <t>月額</t>
        </is>
      </c>
      <c r="C12" s="14" t="inlineStr">
        <is>
          <t>ルームツアー</t>
        </is>
      </c>
      <c r="D12" s="14" t="inlineStr">
        <is>
          <t>ショート動画</t>
        </is>
      </c>
      <c r="E12" s="14" t="inlineStr">
        <is>
          <t>Instagram</t>
        </is>
      </c>
      <c r="F12" s="14" t="inlineStr">
        <is>
          <t>TikTok</t>
        </is>
      </c>
      <c r="G12" s="14" t="inlineStr">
        <is>
          <t>LINE</t>
        </is>
      </c>
      <c r="H12" s="14" t="inlineStr">
        <is>
          <t>戦略会議</t>
        </is>
      </c>
    </row>
    <row r="13">
      <c r="A13" s="15" t="inlineStr">
        <is>
          <t>エントリー</t>
        </is>
      </c>
      <c r="B13" s="15" t="inlineStr">
        <is>
          <t>80,000円</t>
        </is>
      </c>
      <c r="C13" s="15" t="inlineStr">
        <is>
          <t>—</t>
        </is>
      </c>
      <c r="D13" s="15" t="inlineStr">
        <is>
          <t>月4本</t>
        </is>
      </c>
      <c r="E13" s="15" t="inlineStr">
        <is>
          <t>週3投稿</t>
        </is>
      </c>
      <c r="F13" s="15" t="inlineStr">
        <is>
          <t>週2投稿</t>
        </is>
      </c>
      <c r="G13" s="15" t="inlineStr">
        <is>
          <t>—</t>
        </is>
      </c>
      <c r="H13" s="15" t="inlineStr">
        <is>
          <t>—</t>
        </is>
      </c>
    </row>
    <row r="14">
      <c r="A14" s="17" t="inlineStr">
        <is>
          <t>グロース</t>
        </is>
      </c>
      <c r="B14" s="17" t="inlineStr">
        <is>
          <t>150,000円</t>
        </is>
      </c>
      <c r="C14" s="17" t="inlineStr">
        <is>
          <t>月1本</t>
        </is>
      </c>
      <c r="D14" s="17" t="inlineStr">
        <is>
          <t>月8本</t>
        </is>
      </c>
      <c r="E14" s="17" t="inlineStr">
        <is>
          <t>毎日投稿</t>
        </is>
      </c>
      <c r="F14" s="17" t="inlineStr">
        <is>
          <t>週3投稿</t>
        </is>
      </c>
      <c r="G14" s="17" t="inlineStr">
        <is>
          <t>月2配信</t>
        </is>
      </c>
      <c r="H14" s="17" t="inlineStr">
        <is>
          <t>—</t>
        </is>
      </c>
    </row>
    <row r="15">
      <c r="A15" s="15" t="inlineStr">
        <is>
          <t>プレミアム</t>
        </is>
      </c>
      <c r="B15" s="15" t="inlineStr">
        <is>
          <t>250,000円</t>
        </is>
      </c>
      <c r="C15" s="15" t="inlineStr">
        <is>
          <t>月2本</t>
        </is>
      </c>
      <c r="D15" s="15" t="inlineStr">
        <is>
          <t>月12本</t>
        </is>
      </c>
      <c r="E15" s="15" t="inlineStr">
        <is>
          <t>毎日投稿</t>
        </is>
      </c>
      <c r="F15" s="15" t="inlineStr">
        <is>
          <t>毎日投稿</t>
        </is>
      </c>
      <c r="G15" s="15" t="inlineStr">
        <is>
          <t>月4配信</t>
        </is>
      </c>
      <c r="H15" s="15" t="inlineStr">
        <is>
          <t>月1回</t>
        </is>
      </c>
    </row>
    <row r="18">
      <c r="A18" s="8" t="inlineStr">
        <is>
          <t>セット割引（掲載＋マーケ支援）</t>
        </is>
      </c>
    </row>
    <row r="19">
      <c r="A19" s="14" t="inlineStr">
        <is>
          <t>掲載プラン</t>
        </is>
      </c>
      <c r="B19" s="14" t="inlineStr">
        <is>
          <t>マーケ支援</t>
        </is>
      </c>
      <c r="C19" s="14" t="inlineStr">
        <is>
          <t>個別合計</t>
        </is>
      </c>
      <c r="D19" s="14" t="inlineStr">
        <is>
          <t>セット価格</t>
        </is>
      </c>
      <c r="E19" s="14" t="inlineStr">
        <is>
          <t>割引額</t>
        </is>
      </c>
    </row>
    <row r="20">
      <c r="A20" s="15" t="inlineStr">
        <is>
          <t>掲載ベーシック</t>
        </is>
      </c>
      <c r="B20" s="15" t="inlineStr">
        <is>
          <t>エントリー</t>
        </is>
      </c>
      <c r="C20" s="15" t="inlineStr">
        <is>
          <t>11万円</t>
        </is>
      </c>
      <c r="D20" s="15" t="inlineStr">
        <is>
          <t>10万円</t>
        </is>
      </c>
      <c r="E20" s="15" t="inlineStr">
        <is>
          <t>▲1万円</t>
        </is>
      </c>
    </row>
    <row r="21">
      <c r="A21" s="17" t="inlineStr">
        <is>
          <t>掲載ベーシック</t>
        </is>
      </c>
      <c r="B21" s="17" t="inlineStr">
        <is>
          <t>グロース</t>
        </is>
      </c>
      <c r="C21" s="17" t="inlineStr">
        <is>
          <t>18万円</t>
        </is>
      </c>
      <c r="D21" s="17" t="inlineStr">
        <is>
          <t>16万円</t>
        </is>
      </c>
      <c r="E21" s="17" t="inlineStr">
        <is>
          <t>▲2万円</t>
        </is>
      </c>
    </row>
    <row r="22">
      <c r="A22" s="15" t="inlineStr">
        <is>
          <t>掲載プロ</t>
        </is>
      </c>
      <c r="B22" s="15" t="inlineStr">
        <is>
          <t>グロース</t>
        </is>
      </c>
      <c r="C22" s="15" t="inlineStr">
        <is>
          <t>20万円</t>
        </is>
      </c>
      <c r="D22" s="15" t="inlineStr">
        <is>
          <t>18万円</t>
        </is>
      </c>
      <c r="E22" s="15" t="inlineStr">
        <is>
          <t>▲2万円</t>
        </is>
      </c>
    </row>
    <row r="23">
      <c r="A23" s="17" t="inlineStr">
        <is>
          <t>掲載プロ</t>
        </is>
      </c>
      <c r="B23" s="17" t="inlineStr">
        <is>
          <t>プレミアム</t>
        </is>
      </c>
      <c r="C23" s="17" t="inlineStr">
        <is>
          <t>30万円</t>
        </is>
      </c>
      <c r="D23" s="17" t="inlineStr">
        <is>
          <t>27万円</t>
        </is>
      </c>
      <c r="E23" s="17" t="inlineStr">
        <is>
          <t>▲3万円</t>
        </is>
      </c>
    </row>
    <row r="26">
      <c r="A26" s="8" t="inlineStr">
        <is>
          <t>単発メニュー</t>
        </is>
      </c>
    </row>
    <row r="27">
      <c r="A27" s="14" t="inlineStr">
        <is>
          <t>メニュー</t>
        </is>
      </c>
      <c r="B27" s="14" t="inlineStr">
        <is>
          <t>価格（税別）</t>
        </is>
      </c>
    </row>
    <row r="28">
      <c r="A28" s="15" t="inlineStr">
        <is>
          <t>ルームツアー動画</t>
        </is>
      </c>
      <c r="B28" s="15" t="inlineStr">
        <is>
          <t>150,000円/本</t>
        </is>
      </c>
    </row>
    <row r="29">
      <c r="A29" s="17" t="inlineStr">
        <is>
          <t>ショート動画</t>
        </is>
      </c>
      <c r="B29" s="17" t="inlineStr">
        <is>
          <t>30,000円/本</t>
        </is>
      </c>
    </row>
    <row r="30">
      <c r="A30" s="15" t="inlineStr">
        <is>
          <t>見学会集客パック</t>
        </is>
      </c>
      <c r="B30" s="15" t="inlineStr">
        <is>
          <t>100,000円/回</t>
        </is>
      </c>
    </row>
    <row r="31">
      <c r="A31" s="17" t="inlineStr">
        <is>
          <t>お客様インタビュー</t>
        </is>
      </c>
      <c r="B31" s="17" t="inlineStr">
        <is>
          <t>80,000円/本</t>
        </is>
      </c>
    </row>
    <row r="32">
      <c r="A32" s="15" t="inlineStr">
        <is>
          <t>写真撮影パック</t>
        </is>
      </c>
      <c r="B32" s="15" t="inlineStr">
        <is>
          <t>50,000円/回</t>
        </is>
      </c>
    </row>
    <row r="33">
      <c r="A33" s="17" t="inlineStr">
        <is>
          <t>LP制作</t>
        </is>
      </c>
      <c r="B33" s="17" t="inlineStr">
        <is>
          <t>300,000円〜</t>
        </is>
      </c>
    </row>
  </sheetData>
  <mergeCells count="4">
    <mergeCell ref="A18:H18"/>
    <mergeCell ref="A26:H26"/>
    <mergeCell ref="A10:H10"/>
    <mergeCell ref="A1:H1"/>
  </mergeCells>
  <pageMargins left="0.75" right="0.75" top="1" bottom="1" header="0.5" footer="0.5"/>
</worksheet>
</file>

<file path=xl/worksheets/sheet4.xml><?xml version="1.0" encoding="utf-8"?>
<worksheet xmlns="http://schemas.openxmlformats.org/spreadsheetml/2006/main">
  <sheetPr>
    <tabColor rgb="0027AE60"/>
    <outlinePr summaryBelow="1" summaryRight="1"/>
    <pageSetUpPr/>
  </sheetPr>
  <dimension ref="A1:V41"/>
  <sheetViews>
    <sheetView workbookViewId="0">
      <selection activeCell="A1" sqref="A1"/>
    </sheetView>
  </sheetViews>
  <sheetFormatPr baseColWidth="8" defaultRowHeight="15"/>
  <cols>
    <col width="14" customWidth="1" min="1" max="1"/>
    <col width="2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25" customWidth="1" min="22" max="22"/>
  </cols>
  <sheetData>
    <row r="1">
      <c r="A1" s="14" t="inlineStr">
        <is>
          <t>ID</t>
        </is>
      </c>
      <c r="B1" s="14" t="inlineStr">
        <is>
          <t>企業名</t>
        </is>
      </c>
      <c r="C1" s="14" t="inlineStr">
        <is>
          <t>代表者</t>
        </is>
      </c>
      <c r="D1" s="14" t="inlineStr">
        <is>
          <t>担当者</t>
        </is>
      </c>
      <c r="E1" s="14" t="inlineStr">
        <is>
          <t>電話番号</t>
        </is>
      </c>
      <c r="F1" s="14" t="inlineStr">
        <is>
          <t>メール</t>
        </is>
      </c>
      <c r="G1" s="14" t="inlineStr">
        <is>
          <t>エリア</t>
        </is>
      </c>
      <c r="H1" s="14" t="inlineStr">
        <is>
          <t>従業員数</t>
        </is>
      </c>
      <c r="I1" s="14" t="inlineStr">
        <is>
          <t>年間施工数</t>
        </is>
      </c>
      <c r="J1" s="14" t="inlineStr">
        <is>
          <t>平屋実績</t>
        </is>
      </c>
      <c r="K1" s="14" t="inlineStr">
        <is>
          <t>1回目コール日</t>
        </is>
      </c>
      <c r="L1" s="14" t="inlineStr">
        <is>
          <t>1回目結果</t>
        </is>
      </c>
      <c r="M1" s="14" t="inlineStr">
        <is>
          <t>2回目コール日</t>
        </is>
      </c>
      <c r="N1" s="14" t="inlineStr">
        <is>
          <t>2回目結果</t>
        </is>
      </c>
      <c r="O1" s="14" t="inlineStr">
        <is>
          <t>資料送付日</t>
        </is>
      </c>
      <c r="P1" s="14" t="inlineStr">
        <is>
          <t>商談日</t>
        </is>
      </c>
      <c r="Q1" s="14" t="inlineStr">
        <is>
          <t>商談結果</t>
        </is>
      </c>
      <c r="R1" s="14" t="inlineStr">
        <is>
          <t>申込日</t>
        </is>
      </c>
      <c r="S1" s="14" t="inlineStr">
        <is>
          <t>申込プラン</t>
        </is>
      </c>
      <c r="T1" s="14" t="inlineStr">
        <is>
          <t>ステータス</t>
        </is>
      </c>
      <c r="U1" s="14" t="inlineStr">
        <is>
          <t>担当者(自社)</t>
        </is>
      </c>
      <c r="V1" s="14" t="inlineStr">
        <is>
          <t>メモ</t>
        </is>
      </c>
    </row>
    <row r="2">
      <c r="A2" s="15" t="inlineStr">
        <is>
          <t>K-001</t>
        </is>
      </c>
      <c r="B2" s="15" t="inlineStr">
        <is>
          <t>ヤマサハウス株式会社</t>
        </is>
      </c>
      <c r="C2" s="15" t="inlineStr">
        <is>
          <t>森 勇清</t>
        </is>
      </c>
      <c r="D2" s="15" t="inlineStr"/>
      <c r="E2" s="15" t="inlineStr">
        <is>
          <t>099-295-3911</t>
        </is>
      </c>
      <c r="F2" s="15" t="inlineStr"/>
      <c r="G2" s="15" t="inlineStr">
        <is>
          <t>鹿児島市</t>
        </is>
      </c>
      <c r="H2" s="15" t="inlineStr"/>
      <c r="I2" s="15" t="inlineStr"/>
      <c r="J2" s="15" t="inlineStr"/>
      <c r="K2" s="15" t="inlineStr"/>
      <c r="L2" s="15" t="inlineStr"/>
      <c r="M2" s="15" t="inlineStr"/>
      <c r="N2" s="15" t="inlineStr"/>
      <c r="O2" s="15" t="inlineStr"/>
      <c r="P2" s="15" t="inlineStr"/>
      <c r="Q2" s="15" t="inlineStr"/>
      <c r="R2" s="15" t="inlineStr"/>
      <c r="S2" s="15" t="inlineStr"/>
      <c r="T2" s="15" t="inlineStr">
        <is>
          <t>未コール</t>
        </is>
      </c>
      <c r="U2" s="15" t="inlineStr">
        <is>
          <t>右田</t>
        </is>
      </c>
      <c r="V2" s="15" t="inlineStr">
        <is>
          <t>創業1948年 資本金9,800万円 社員193名</t>
        </is>
      </c>
    </row>
    <row r="3">
      <c r="A3" s="17" t="inlineStr">
        <is>
          <t>K-002</t>
        </is>
      </c>
      <c r="B3" s="17" t="inlineStr">
        <is>
          <t>株式会社センチュリーハウス</t>
        </is>
      </c>
      <c r="C3" s="17" t="inlineStr">
        <is>
          <t>加治木 百年</t>
        </is>
      </c>
      <c r="D3" s="17" t="inlineStr"/>
      <c r="E3" s="17" t="inlineStr">
        <is>
          <t>099-813-0001</t>
        </is>
      </c>
      <c r="F3" s="17" t="inlineStr"/>
      <c r="G3" s="17" t="inlineStr">
        <is>
          <t>鹿児島市</t>
        </is>
      </c>
      <c r="H3" s="17" t="inlineStr"/>
      <c r="I3" s="17" t="inlineStr"/>
      <c r="J3" s="17" t="inlineStr"/>
      <c r="K3" s="17" t="inlineStr"/>
      <c r="L3" s="17" t="inlineStr"/>
      <c r="M3" s="17" t="inlineStr"/>
      <c r="N3" s="17" t="inlineStr"/>
      <c r="O3" s="17" t="inlineStr"/>
      <c r="P3" s="17" t="inlineStr"/>
      <c r="Q3" s="17" t="inlineStr"/>
      <c r="R3" s="17" t="inlineStr"/>
      <c r="S3" s="17" t="inlineStr"/>
      <c r="T3" s="17" t="inlineStr">
        <is>
          <t>未コール</t>
        </is>
      </c>
      <c r="U3" s="17" t="inlineStr">
        <is>
          <t>右田</t>
        </is>
      </c>
      <c r="V3" s="17" t="inlineStr">
        <is>
          <t>設立平成9年8月 資本金1,000万円 姶良店・鹿屋店あり</t>
        </is>
      </c>
    </row>
    <row r="4">
      <c r="A4" s="15" t="inlineStr">
        <is>
          <t>K-003</t>
        </is>
      </c>
      <c r="B4" s="15" t="inlineStr">
        <is>
          <t>株式会社七呂建設</t>
        </is>
      </c>
      <c r="C4" s="15" t="inlineStr">
        <is>
          <t>七呂 恵介</t>
        </is>
      </c>
      <c r="D4" s="15" t="inlineStr"/>
      <c r="E4" s="15" t="inlineStr">
        <is>
          <t>099-201-3015</t>
        </is>
      </c>
      <c r="F4" s="15" t="inlineStr"/>
      <c r="G4" s="15" t="inlineStr">
        <is>
          <t>鹿児島市</t>
        </is>
      </c>
      <c r="H4" s="15" t="inlineStr"/>
      <c r="I4" s="15" t="inlineStr"/>
      <c r="J4" s="15" t="inlineStr"/>
      <c r="K4" s="15" t="inlineStr"/>
      <c r="L4" s="15" t="inlineStr"/>
      <c r="M4" s="15" t="inlineStr"/>
      <c r="N4" s="15" t="inlineStr"/>
      <c r="O4" s="15" t="inlineStr"/>
      <c r="P4" s="15" t="inlineStr"/>
      <c r="Q4" s="15" t="inlineStr"/>
      <c r="R4" s="15" t="inlineStr"/>
      <c r="S4" s="15" t="inlineStr"/>
      <c r="T4" s="15" t="inlineStr">
        <is>
          <t>未コール</t>
        </is>
      </c>
      <c r="U4" s="15" t="inlineStr">
        <is>
          <t>右田</t>
        </is>
      </c>
      <c r="V4" s="15" t="inlineStr">
        <is>
          <t>創業昭和35年 資本金8,700万円 社員181名 九州各地に展開</t>
        </is>
      </c>
    </row>
    <row r="5">
      <c r="A5" s="17" t="inlineStr">
        <is>
          <t>K-004</t>
        </is>
      </c>
      <c r="B5" s="17" t="inlineStr">
        <is>
          <t>株式会社国分ハウジング</t>
        </is>
      </c>
      <c r="C5" s="17" t="inlineStr">
        <is>
          <t>久保 範和</t>
        </is>
      </c>
      <c r="D5" s="17" t="inlineStr"/>
      <c r="E5" s="17" t="inlineStr">
        <is>
          <t>0995-45-8886</t>
        </is>
      </c>
      <c r="F5" s="17" t="inlineStr"/>
      <c r="G5" s="17" t="inlineStr">
        <is>
          <t>霧島市</t>
        </is>
      </c>
      <c r="H5" s="17" t="inlineStr"/>
      <c r="I5" s="17" t="inlineStr"/>
      <c r="J5" s="17" t="inlineStr"/>
      <c r="K5" s="17" t="inlineStr"/>
      <c r="L5" s="17" t="inlineStr"/>
      <c r="M5" s="17" t="inlineStr"/>
      <c r="N5" s="17" t="inlineStr"/>
      <c r="O5" s="17" t="inlineStr"/>
      <c r="P5" s="17" t="inlineStr"/>
      <c r="Q5" s="17" t="inlineStr"/>
      <c r="R5" s="17" t="inlineStr"/>
      <c r="S5" s="17" t="inlineStr"/>
      <c r="T5" s="17" t="inlineStr">
        <is>
          <t>未コール</t>
        </is>
      </c>
      <c r="U5" s="17" t="inlineStr">
        <is>
          <t>右田</t>
        </is>
      </c>
      <c r="V5" s="17" t="inlineStr">
        <is>
          <t>創業昭和63年 資本金3,000万円 グループ社員261名</t>
        </is>
      </c>
    </row>
    <row r="6">
      <c r="A6" s="15" t="inlineStr">
        <is>
          <t>K-005</t>
        </is>
      </c>
      <c r="B6" s="15" t="inlineStr">
        <is>
          <t>株式会社トータルハウジング</t>
        </is>
      </c>
      <c r="C6" s="15" t="inlineStr">
        <is>
          <t>渡邊 孝太郎</t>
        </is>
      </c>
      <c r="D6" s="15" t="inlineStr"/>
      <c r="E6" s="15" t="inlineStr">
        <is>
          <t>099-210-5120</t>
        </is>
      </c>
      <c r="F6" s="15" t="inlineStr"/>
      <c r="G6" s="15" t="inlineStr">
        <is>
          <t>鹿児島市</t>
        </is>
      </c>
      <c r="H6" s="15" t="inlineStr"/>
      <c r="I6" s="15" t="inlineStr"/>
      <c r="J6" s="15" t="inlineStr"/>
      <c r="K6" s="15" t="inlineStr"/>
      <c r="L6" s="15" t="inlineStr"/>
      <c r="M6" s="15" t="inlineStr"/>
      <c r="N6" s="15" t="inlineStr"/>
      <c r="O6" s="15" t="inlineStr"/>
      <c r="P6" s="15" t="inlineStr"/>
      <c r="Q6" s="15" t="inlineStr"/>
      <c r="R6" s="15" t="inlineStr"/>
      <c r="S6" s="15" t="inlineStr"/>
      <c r="T6" s="15" t="inlineStr">
        <is>
          <t>未コール</t>
        </is>
      </c>
      <c r="U6" s="15" t="inlineStr">
        <is>
          <t>右田</t>
        </is>
      </c>
      <c r="V6" s="15" t="inlineStr">
        <is>
          <t>創業1991年 資本金1,000万円</t>
        </is>
      </c>
    </row>
    <row r="7">
      <c r="A7" s="17" t="inlineStr">
        <is>
          <t>K-006</t>
        </is>
      </c>
      <c r="B7" s="17" t="inlineStr">
        <is>
          <t>株式会社NEO（NEOデザインホーム）</t>
        </is>
      </c>
      <c r="C7" s="17" t="inlineStr">
        <is>
          <t>赤﨑 広久</t>
        </is>
      </c>
      <c r="D7" s="17" t="inlineStr"/>
      <c r="E7" s="17" t="inlineStr">
        <is>
          <t>099-298-9300</t>
        </is>
      </c>
      <c r="F7" s="17" t="inlineStr"/>
      <c r="G7" s="17" t="inlineStr">
        <is>
          <t>鹿児島市</t>
        </is>
      </c>
      <c r="H7" s="17" t="inlineStr"/>
      <c r="I7" s="17" t="inlineStr"/>
      <c r="J7" s="17" t="inlineStr"/>
      <c r="K7" s="17" t="inlineStr"/>
      <c r="L7" s="17" t="inlineStr"/>
      <c r="M7" s="17" t="inlineStr"/>
      <c r="N7" s="17" t="inlineStr"/>
      <c r="O7" s="17" t="inlineStr"/>
      <c r="P7" s="17" t="inlineStr"/>
      <c r="Q7" s="17" t="inlineStr"/>
      <c r="R7" s="17" t="inlineStr"/>
      <c r="S7" s="17" t="inlineStr"/>
      <c r="T7" s="17" t="inlineStr">
        <is>
          <t>未コール</t>
        </is>
      </c>
      <c r="U7" s="17" t="inlineStr">
        <is>
          <t>右田</t>
        </is>
      </c>
      <c r="V7" s="17" t="inlineStr">
        <is>
          <t>設立2005年11月 資本金5,000万円 NEOホールディングスグループ</t>
        </is>
      </c>
    </row>
    <row r="8">
      <c r="A8" s="15" t="inlineStr">
        <is>
          <t>K-007</t>
        </is>
      </c>
      <c r="B8" s="15" t="inlineStr">
        <is>
          <t>MBC開発株式会社（MBCハウス）</t>
        </is>
      </c>
      <c r="C8" s="15" t="inlineStr">
        <is>
          <t>陶山 賢治</t>
        </is>
      </c>
      <c r="D8" s="15" t="inlineStr"/>
      <c r="E8" s="15" t="inlineStr">
        <is>
          <t>099-226-7777</t>
        </is>
      </c>
      <c r="F8" s="15" t="inlineStr"/>
      <c r="G8" s="15" t="inlineStr">
        <is>
          <t>鹿児島市</t>
        </is>
      </c>
      <c r="H8" s="15" t="inlineStr"/>
      <c r="I8" s="15" t="inlineStr"/>
      <c r="J8" s="15" t="inlineStr"/>
      <c r="K8" s="15" t="inlineStr"/>
      <c r="L8" s="15" t="inlineStr"/>
      <c r="M8" s="15" t="inlineStr"/>
      <c r="N8" s="15" t="inlineStr"/>
      <c r="O8" s="15" t="inlineStr"/>
      <c r="P8" s="15" t="inlineStr"/>
      <c r="Q8" s="15" t="inlineStr"/>
      <c r="R8" s="15" t="inlineStr"/>
      <c r="S8" s="15" t="inlineStr"/>
      <c r="T8" s="15" t="inlineStr">
        <is>
          <t>未コール</t>
        </is>
      </c>
      <c r="U8" s="15" t="inlineStr">
        <is>
          <t>右田</t>
        </is>
      </c>
      <c r="V8" s="15" t="inlineStr">
        <is>
          <t>創業1969年 南日本放送グループ 社員232名</t>
        </is>
      </c>
    </row>
    <row r="9">
      <c r="A9" s="17" t="inlineStr">
        <is>
          <t>K-008</t>
        </is>
      </c>
      <c r="B9" s="17" t="inlineStr">
        <is>
          <t>丸和建設株式会社</t>
        </is>
      </c>
      <c r="C9" s="17" t="inlineStr">
        <is>
          <t>和田 康伸</t>
        </is>
      </c>
      <c r="D9" s="17" t="inlineStr"/>
      <c r="E9" s="17" t="inlineStr">
        <is>
          <t>099-269-7600</t>
        </is>
      </c>
      <c r="F9" s="17" t="inlineStr"/>
      <c r="G9" s="17" t="inlineStr">
        <is>
          <t>鹿児島市</t>
        </is>
      </c>
      <c r="H9" s="17" t="inlineStr"/>
      <c r="I9" s="17" t="inlineStr"/>
      <c r="J9" s="17" t="inlineStr"/>
      <c r="K9" s="17" t="inlineStr"/>
      <c r="L9" s="17" t="inlineStr"/>
      <c r="M9" s="17" t="inlineStr"/>
      <c r="N9" s="17" t="inlineStr"/>
      <c r="O9" s="17" t="inlineStr"/>
      <c r="P9" s="17" t="inlineStr"/>
      <c r="Q9" s="17" t="inlineStr"/>
      <c r="R9" s="17" t="inlineStr"/>
      <c r="S9" s="17" t="inlineStr"/>
      <c r="T9" s="17" t="inlineStr">
        <is>
          <t>未コール</t>
        </is>
      </c>
      <c r="U9" s="17" t="inlineStr">
        <is>
          <t>右田</t>
        </is>
      </c>
      <c r="V9" s="17" t="inlineStr">
        <is>
          <t>創業1980年10月 資本金3,000万円 社員61名</t>
        </is>
      </c>
    </row>
    <row r="10">
      <c r="A10" s="15" t="inlineStr">
        <is>
          <t>K-009</t>
        </is>
      </c>
      <c r="B10" s="15" t="inlineStr">
        <is>
          <t>株式会社ベガハウス</t>
        </is>
      </c>
      <c r="C10" s="15" t="inlineStr">
        <is>
          <t>大迫 学</t>
        </is>
      </c>
      <c r="D10" s="15" t="inlineStr"/>
      <c r="E10" s="15" t="inlineStr">
        <is>
          <t>099-295-0788</t>
        </is>
      </c>
      <c r="F10" s="15" t="inlineStr"/>
      <c r="G10" s="15" t="inlineStr">
        <is>
          <t>鹿児島市</t>
        </is>
      </c>
      <c r="H10" s="15" t="inlineStr"/>
      <c r="I10" s="15" t="inlineStr"/>
      <c r="J10" s="15" t="inlineStr"/>
      <c r="K10" s="15" t="inlineStr"/>
      <c r="L10" s="15" t="inlineStr"/>
      <c r="M10" s="15" t="inlineStr"/>
      <c r="N10" s="15" t="inlineStr"/>
      <c r="O10" s="15" t="inlineStr"/>
      <c r="P10" s="15" t="inlineStr"/>
      <c r="Q10" s="15" t="inlineStr"/>
      <c r="R10" s="15" t="inlineStr"/>
      <c r="S10" s="15" t="inlineStr"/>
      <c r="T10" s="15" t="inlineStr">
        <is>
          <t>未コール</t>
        </is>
      </c>
      <c r="U10" s="15" t="inlineStr">
        <is>
          <t>右田</t>
        </is>
      </c>
      <c r="V10" s="15" t="inlineStr">
        <is>
          <t>創業1986年5月 資本金2,500万円 社員22名</t>
        </is>
      </c>
    </row>
    <row r="11">
      <c r="A11" s="17" t="inlineStr">
        <is>
          <t>K-010</t>
        </is>
      </c>
      <c r="B11" s="17" t="inlineStr">
        <is>
          <t>株式会社ベルハウジング</t>
        </is>
      </c>
      <c r="C11" s="17" t="inlineStr">
        <is>
          <t>松田 英之</t>
        </is>
      </c>
      <c r="D11" s="17" t="inlineStr"/>
      <c r="E11" s="17" t="inlineStr">
        <is>
          <t>099-250-0694</t>
        </is>
      </c>
      <c r="F11" s="17" t="inlineStr"/>
      <c r="G11" s="17" t="inlineStr">
        <is>
          <t>鹿児島市</t>
        </is>
      </c>
      <c r="H11" s="17" t="inlineStr"/>
      <c r="I11" s="17" t="inlineStr"/>
      <c r="J11" s="17" t="inlineStr"/>
      <c r="K11" s="17" t="inlineStr"/>
      <c r="L11" s="17" t="inlineStr"/>
      <c r="M11" s="17" t="inlineStr"/>
      <c r="N11" s="17" t="inlineStr"/>
      <c r="O11" s="17" t="inlineStr"/>
      <c r="P11" s="17" t="inlineStr"/>
      <c r="Q11" s="17" t="inlineStr"/>
      <c r="R11" s="17" t="inlineStr"/>
      <c r="S11" s="17" t="inlineStr"/>
      <c r="T11" s="17" t="inlineStr">
        <is>
          <t>未コール</t>
        </is>
      </c>
      <c r="U11" s="17" t="inlineStr">
        <is>
          <t>右田</t>
        </is>
      </c>
      <c r="V11" s="17" t="inlineStr">
        <is>
          <t>創業昭和61年5月 霧島店あり</t>
        </is>
      </c>
    </row>
    <row r="12">
      <c r="A12" s="15" t="inlineStr">
        <is>
          <t>K-011</t>
        </is>
      </c>
      <c r="B12" s="15" t="inlineStr">
        <is>
          <t>有限会社田建築工房</t>
        </is>
      </c>
      <c r="C12" s="15" t="inlineStr">
        <is>
          <t>田底 克也</t>
        </is>
      </c>
      <c r="D12" s="15" t="inlineStr"/>
      <c r="E12" s="15" t="inlineStr">
        <is>
          <t>099-250-6347</t>
        </is>
      </c>
      <c r="F12" s="15" t="inlineStr"/>
      <c r="G12" s="15" t="inlineStr">
        <is>
          <t>鹿児島市</t>
        </is>
      </c>
      <c r="H12" s="15" t="inlineStr"/>
      <c r="I12" s="15" t="inlineStr"/>
      <c r="J12" s="15" t="inlineStr"/>
      <c r="K12" s="15" t="inlineStr"/>
      <c r="L12" s="15" t="inlineStr"/>
      <c r="M12" s="15" t="inlineStr"/>
      <c r="N12" s="15" t="inlineStr"/>
      <c r="O12" s="15" t="inlineStr"/>
      <c r="P12" s="15" t="inlineStr"/>
      <c r="Q12" s="15" t="inlineStr"/>
      <c r="R12" s="15" t="inlineStr"/>
      <c r="S12" s="15" t="inlineStr"/>
      <c r="T12" s="15" t="inlineStr">
        <is>
          <t>未コール</t>
        </is>
      </c>
      <c r="U12" s="15" t="inlineStr">
        <is>
          <t>右田</t>
        </is>
      </c>
      <c r="V12" s="15" t="inlineStr">
        <is>
          <t>設立平成12年4月 資本金500万円</t>
        </is>
      </c>
    </row>
    <row r="13">
      <c r="A13" s="17" t="inlineStr">
        <is>
          <t>K-012</t>
        </is>
      </c>
      <c r="B13" s="17" t="inlineStr">
        <is>
          <t>株式会社感動</t>
        </is>
      </c>
      <c r="C13" s="17" t="inlineStr">
        <is>
          <t>渡邊 孝太郎</t>
        </is>
      </c>
      <c r="D13" s="17" t="inlineStr"/>
      <c r="E13" s="17" t="inlineStr">
        <is>
          <t>099-296-8881</t>
        </is>
      </c>
      <c r="F13" s="17" t="inlineStr"/>
      <c r="G13" s="17" t="inlineStr">
        <is>
          <t>鹿児島市</t>
        </is>
      </c>
      <c r="H13" s="17" t="inlineStr"/>
      <c r="I13" s="17" t="inlineStr"/>
      <c r="J13" s="17" t="inlineStr"/>
      <c r="K13" s="17" t="inlineStr"/>
      <c r="L13" s="17" t="inlineStr"/>
      <c r="M13" s="17" t="inlineStr"/>
      <c r="N13" s="17" t="inlineStr"/>
      <c r="O13" s="17" t="inlineStr"/>
      <c r="P13" s="17" t="inlineStr"/>
      <c r="Q13" s="17" t="inlineStr"/>
      <c r="R13" s="17" t="inlineStr"/>
      <c r="S13" s="17" t="inlineStr"/>
      <c r="T13" s="17" t="inlineStr">
        <is>
          <t>未コール</t>
        </is>
      </c>
      <c r="U13" s="17" t="inlineStr">
        <is>
          <t>右田</t>
        </is>
      </c>
      <c r="V13" s="17" t="inlineStr">
        <is>
          <t>社員23名 姶良支店あり トータルハウジングと同代表</t>
        </is>
      </c>
    </row>
    <row r="14">
      <c r="A14" s="15" t="inlineStr">
        <is>
          <t>K-013</t>
        </is>
      </c>
      <c r="B14" s="15" t="inlineStr">
        <is>
          <t>株式会社成建ホーム</t>
        </is>
      </c>
      <c r="C14" s="15" t="inlineStr">
        <is>
          <t>澁谷 大</t>
        </is>
      </c>
      <c r="D14" s="15" t="inlineStr"/>
      <c r="E14" s="15" t="inlineStr">
        <is>
          <t>0996-20-5520</t>
        </is>
      </c>
      <c r="F14" s="15" t="inlineStr"/>
      <c r="G14" s="15" t="inlineStr">
        <is>
          <t>薩摩川内市</t>
        </is>
      </c>
      <c r="H14" s="15" t="inlineStr"/>
      <c r="I14" s="15" t="inlineStr"/>
      <c r="J14" s="15" t="inlineStr"/>
      <c r="K14" s="15" t="inlineStr"/>
      <c r="L14" s="15" t="inlineStr"/>
      <c r="M14" s="15" t="inlineStr"/>
      <c r="N14" s="15" t="inlineStr"/>
      <c r="O14" s="15" t="inlineStr"/>
      <c r="P14" s="15" t="inlineStr"/>
      <c r="Q14" s="15" t="inlineStr"/>
      <c r="R14" s="15" t="inlineStr"/>
      <c r="S14" s="15" t="inlineStr"/>
      <c r="T14" s="15" t="inlineStr">
        <is>
          <t>未コール</t>
        </is>
      </c>
      <c r="U14" s="15" t="inlineStr">
        <is>
          <t>右田</t>
        </is>
      </c>
      <c r="V14" s="15" t="inlineStr">
        <is>
          <t>創業平成元年7月 資本金1,000万円</t>
        </is>
      </c>
    </row>
    <row r="15">
      <c r="A15" s="17" t="inlineStr">
        <is>
          <t>K-014</t>
        </is>
      </c>
      <c r="B15" s="17" t="inlineStr">
        <is>
          <t>クラシックホーム（ヤマサハウス株式会社）</t>
        </is>
      </c>
      <c r="C15" s="17" t="inlineStr">
        <is>
          <t>森 勇清</t>
        </is>
      </c>
      <c r="D15" s="17" t="inlineStr"/>
      <c r="E15" s="17" t="inlineStr">
        <is>
          <t>099-295-3910</t>
        </is>
      </c>
      <c r="F15" s="17" t="inlineStr"/>
      <c r="G15" s="17" t="inlineStr">
        <is>
          <t>鹿児島市</t>
        </is>
      </c>
      <c r="H15" s="17" t="inlineStr"/>
      <c r="I15" s="17" t="inlineStr"/>
      <c r="J15" s="17" t="inlineStr"/>
      <c r="K15" s="17" t="inlineStr"/>
      <c r="L15" s="17" t="inlineStr"/>
      <c r="M15" s="17" t="inlineStr"/>
      <c r="N15" s="17" t="inlineStr"/>
      <c r="O15" s="17" t="inlineStr"/>
      <c r="P15" s="17" t="inlineStr"/>
      <c r="Q15" s="17" t="inlineStr"/>
      <c r="R15" s="17" t="inlineStr"/>
      <c r="S15" s="17" t="inlineStr"/>
      <c r="T15" s="17" t="inlineStr">
        <is>
          <t>未コール</t>
        </is>
      </c>
      <c r="U15" s="17" t="inlineStr">
        <is>
          <t>右田</t>
        </is>
      </c>
      <c r="V15" s="17" t="inlineStr">
        <is>
          <t>ヤマサハウスが運営する規格住宅ブランド ショールーム:与次郎</t>
        </is>
      </c>
    </row>
    <row r="16">
      <c r="A16" s="15" t="inlineStr">
        <is>
          <t>K-015</t>
        </is>
      </c>
      <c r="B16" s="15" t="inlineStr">
        <is>
          <t>なごみ工務店（株式会社国分ハウジング）</t>
        </is>
      </c>
      <c r="C16" s="15" t="inlineStr">
        <is>
          <t>久保 範和</t>
        </is>
      </c>
      <c r="D16" s="15" t="inlineStr"/>
      <c r="E16" s="15" t="inlineStr">
        <is>
          <t>0995-45-8886</t>
        </is>
      </c>
      <c r="F16" s="15" t="inlineStr"/>
      <c r="G16" s="15" t="inlineStr">
        <is>
          <t>鹿児島市</t>
        </is>
      </c>
      <c r="H16" s="15" t="inlineStr"/>
      <c r="I16" s="15" t="inlineStr"/>
      <c r="J16" s="15" t="inlineStr"/>
      <c r="K16" s="15" t="inlineStr"/>
      <c r="L16" s="15" t="inlineStr"/>
      <c r="M16" s="15" t="inlineStr"/>
      <c r="N16" s="15" t="inlineStr"/>
      <c r="O16" s="15" t="inlineStr"/>
      <c r="P16" s="15" t="inlineStr"/>
      <c r="Q16" s="15" t="inlineStr"/>
      <c r="R16" s="15" t="inlineStr"/>
      <c r="S16" s="15" t="inlineStr"/>
      <c r="T16" s="15" t="inlineStr">
        <is>
          <t>未コール</t>
        </is>
      </c>
      <c r="U16" s="15" t="inlineStr">
        <is>
          <t>右田</t>
        </is>
      </c>
      <c r="V16" s="15" t="inlineStr">
        <is>
          <t>国分ハウジンググループ 自然素材の家づくり</t>
        </is>
      </c>
    </row>
    <row r="17">
      <c r="A17" s="17" t="inlineStr">
        <is>
          <t>K-016</t>
        </is>
      </c>
      <c r="B17" s="17" t="inlineStr">
        <is>
          <t>PGハウス（株式会社国分ハウジング）</t>
        </is>
      </c>
      <c r="C17" s="17" t="inlineStr">
        <is>
          <t>久保 範和</t>
        </is>
      </c>
      <c r="D17" s="17" t="inlineStr"/>
      <c r="E17" s="17" t="inlineStr">
        <is>
          <t>0995-45-8886</t>
        </is>
      </c>
      <c r="F17" s="17" t="inlineStr"/>
      <c r="G17" s="17" t="inlineStr">
        <is>
          <t>霧島市</t>
        </is>
      </c>
      <c r="H17" s="17" t="inlineStr"/>
      <c r="I17" s="17" t="inlineStr"/>
      <c r="J17" s="17" t="inlineStr"/>
      <c r="K17" s="17" t="inlineStr"/>
      <c r="L17" s="17" t="inlineStr"/>
      <c r="M17" s="17" t="inlineStr"/>
      <c r="N17" s="17" t="inlineStr"/>
      <c r="O17" s="17" t="inlineStr"/>
      <c r="P17" s="17" t="inlineStr"/>
      <c r="Q17" s="17" t="inlineStr"/>
      <c r="R17" s="17" t="inlineStr"/>
      <c r="S17" s="17" t="inlineStr"/>
      <c r="T17" s="17" t="inlineStr">
        <is>
          <t>未コール</t>
        </is>
      </c>
      <c r="U17" s="17" t="inlineStr">
        <is>
          <t>右田</t>
        </is>
      </c>
      <c r="V17" s="17" t="inlineStr">
        <is>
          <t>国分ハウジンググループ</t>
        </is>
      </c>
    </row>
    <row r="18">
      <c r="A18" s="15" t="inlineStr">
        <is>
          <t>K-017</t>
        </is>
      </c>
      <c r="B18" s="15" t="inlineStr">
        <is>
          <t>チェックハウスプラス鹿児島（株式会社NEO）</t>
        </is>
      </c>
      <c r="C18" s="15" t="inlineStr">
        <is>
          <t>赤﨑 広久</t>
        </is>
      </c>
      <c r="D18" s="15" t="inlineStr"/>
      <c r="E18" s="15" t="inlineStr">
        <is>
          <t>099-201-3355</t>
        </is>
      </c>
      <c r="F18" s="15" t="inlineStr"/>
      <c r="G18" s="15" t="inlineStr">
        <is>
          <t>鹿児島市</t>
        </is>
      </c>
      <c r="H18" s="15" t="inlineStr"/>
      <c r="I18" s="15" t="inlineStr"/>
      <c r="J18" s="15" t="inlineStr"/>
      <c r="K18" s="15" t="inlineStr"/>
      <c r="L18" s="15" t="inlineStr"/>
      <c r="M18" s="15" t="inlineStr"/>
      <c r="N18" s="15" t="inlineStr"/>
      <c r="O18" s="15" t="inlineStr"/>
      <c r="P18" s="15" t="inlineStr"/>
      <c r="Q18" s="15" t="inlineStr"/>
      <c r="R18" s="15" t="inlineStr"/>
      <c r="S18" s="15" t="inlineStr"/>
      <c r="T18" s="15" t="inlineStr">
        <is>
          <t>未コール</t>
        </is>
      </c>
      <c r="U18" s="15" t="inlineStr">
        <is>
          <t>右田</t>
        </is>
      </c>
      <c r="V18" s="15" t="inlineStr">
        <is>
          <t>NEOデザインホーム事業本部が運営</t>
        </is>
      </c>
    </row>
    <row r="19">
      <c r="A19" s="17" t="inlineStr">
        <is>
          <t>K-018</t>
        </is>
      </c>
      <c r="B19" s="17" t="inlineStr">
        <is>
          <t>デイジャストハウス（株式会社国分ハウジング）</t>
        </is>
      </c>
      <c r="C19" s="17" t="inlineStr">
        <is>
          <t>久保 範和</t>
        </is>
      </c>
      <c r="D19" s="17" t="inlineStr"/>
      <c r="E19" s="17" t="inlineStr">
        <is>
          <t>0995-73-5602</t>
        </is>
      </c>
      <c r="F19" s="17" t="inlineStr"/>
      <c r="G19" s="17" t="inlineStr">
        <is>
          <t>霧島市</t>
        </is>
      </c>
      <c r="H19" s="17" t="inlineStr"/>
      <c r="I19" s="17" t="inlineStr"/>
      <c r="J19" s="17" t="inlineStr"/>
      <c r="K19" s="17" t="inlineStr"/>
      <c r="L19" s="17" t="inlineStr"/>
      <c r="M19" s="17" t="inlineStr"/>
      <c r="N19" s="17" t="inlineStr"/>
      <c r="O19" s="17" t="inlineStr"/>
      <c r="P19" s="17" t="inlineStr"/>
      <c r="Q19" s="17" t="inlineStr"/>
      <c r="R19" s="17" t="inlineStr"/>
      <c r="S19" s="17" t="inlineStr"/>
      <c r="T19" s="17" t="inlineStr">
        <is>
          <t>未コール</t>
        </is>
      </c>
      <c r="U19" s="17" t="inlineStr">
        <is>
          <t>右田</t>
        </is>
      </c>
      <c r="V19" s="17" t="inlineStr">
        <is>
          <t>国分ハウジンググループ 創業2004年 企画型注文住宅</t>
        </is>
      </c>
    </row>
    <row r="20">
      <c r="A20" s="15" t="inlineStr">
        <is>
          <t>K-019</t>
        </is>
      </c>
      <c r="B20" s="15" t="inlineStr">
        <is>
          <t>アイフルホーム鹿児島（株式会社Life plus home）</t>
        </is>
      </c>
      <c r="C20" s="15" t="inlineStr">
        <is>
          <t>不明</t>
        </is>
      </c>
      <c r="D20" s="15" t="inlineStr"/>
      <c r="E20" s="15" t="inlineStr">
        <is>
          <t>099-202-0340</t>
        </is>
      </c>
      <c r="F20" s="15" t="inlineStr"/>
      <c r="G20" s="15" t="inlineStr">
        <is>
          <t>霧島市</t>
        </is>
      </c>
      <c r="H20" s="15" t="inlineStr"/>
      <c r="I20" s="15" t="inlineStr"/>
      <c r="J20" s="15" t="inlineStr"/>
      <c r="K20" s="15" t="inlineStr"/>
      <c r="L20" s="15" t="inlineStr"/>
      <c r="M20" s="15" t="inlineStr"/>
      <c r="N20" s="15" t="inlineStr"/>
      <c r="O20" s="15" t="inlineStr"/>
      <c r="P20" s="15" t="inlineStr"/>
      <c r="Q20" s="15" t="inlineStr"/>
      <c r="R20" s="15" t="inlineStr"/>
      <c r="S20" s="15" t="inlineStr"/>
      <c r="T20" s="15" t="inlineStr">
        <is>
          <t>未コール</t>
        </is>
      </c>
      <c r="U20" s="15" t="inlineStr">
        <is>
          <t>右田</t>
        </is>
      </c>
      <c r="V20" s="15" t="inlineStr">
        <is>
          <t>アイフルホームFC加盟店 創業平成25年8月</t>
        </is>
      </c>
    </row>
    <row r="21">
      <c r="A21" s="17" t="inlineStr">
        <is>
          <t>K-020</t>
        </is>
      </c>
      <c r="B21" s="17" t="inlineStr">
        <is>
          <t>株式会社Lib Work（リブワーク）</t>
        </is>
      </c>
      <c r="C21" s="17" t="inlineStr">
        <is>
          <t>瀬口 力</t>
        </is>
      </c>
      <c r="D21" s="17" t="inlineStr"/>
      <c r="E21" s="17" t="inlineStr">
        <is>
          <t>0120-443-557</t>
        </is>
      </c>
      <c r="F21" s="17" t="inlineStr"/>
      <c r="G21" s="17" t="inlineStr">
        <is>
          <t>熊本（鹿児島展開）</t>
        </is>
      </c>
      <c r="H21" s="17" t="inlineStr"/>
      <c r="I21" s="17" t="inlineStr"/>
      <c r="J21" s="17" t="inlineStr"/>
      <c r="K21" s="17" t="inlineStr"/>
      <c r="L21" s="17" t="inlineStr"/>
      <c r="M21" s="17" t="inlineStr"/>
      <c r="N21" s="17" t="inlineStr"/>
      <c r="O21" s="17" t="inlineStr"/>
      <c r="P21" s="17" t="inlineStr"/>
      <c r="Q21" s="17" t="inlineStr"/>
      <c r="R21" s="17" t="inlineStr"/>
      <c r="S21" s="17" t="inlineStr"/>
      <c r="T21" s="17" t="inlineStr">
        <is>
          <t>未コール</t>
        </is>
      </c>
      <c r="U21" s="17" t="inlineStr">
        <is>
          <t>右田</t>
        </is>
      </c>
      <c r="V21" s="17" t="inlineStr">
        <is>
          <t>東証グロース上場 資本金10億円 鹿児島はIPライセンス加盟店展開</t>
        </is>
      </c>
    </row>
    <row r="22">
      <c r="A22" s="15" t="inlineStr">
        <is>
          <t>K-021</t>
        </is>
      </c>
      <c r="B22" s="15" t="inlineStr">
        <is>
          <t>株式会社もみの木ハウス・かごしま</t>
        </is>
      </c>
      <c r="C22" s="15" t="inlineStr">
        <is>
          <t>竹下 浩二</t>
        </is>
      </c>
      <c r="D22" s="15" t="inlineStr"/>
      <c r="E22" s="15" t="inlineStr">
        <is>
          <t>0995-62-1064</t>
        </is>
      </c>
      <c r="F22" s="15" t="inlineStr"/>
      <c r="G22" s="15" t="inlineStr">
        <is>
          <t>姶良市</t>
        </is>
      </c>
      <c r="H22" s="15" t="inlineStr"/>
      <c r="I22" s="15" t="inlineStr"/>
      <c r="J22" s="15" t="inlineStr"/>
      <c r="K22" s="15" t="inlineStr"/>
      <c r="L22" s="15" t="inlineStr"/>
      <c r="M22" s="15" t="inlineStr"/>
      <c r="N22" s="15" t="inlineStr"/>
      <c r="O22" s="15" t="inlineStr"/>
      <c r="P22" s="15" t="inlineStr"/>
      <c r="Q22" s="15" t="inlineStr"/>
      <c r="R22" s="15" t="inlineStr"/>
      <c r="S22" s="15" t="inlineStr"/>
      <c r="T22" s="15" t="inlineStr">
        <is>
          <t>未コール</t>
        </is>
      </c>
      <c r="U22" s="15" t="inlineStr">
        <is>
          <t>右田</t>
        </is>
      </c>
      <c r="V22" s="15" t="inlineStr">
        <is>
          <t>もみの木ハウス協会加盟</t>
        </is>
      </c>
    </row>
    <row r="23">
      <c r="A23" s="17" t="inlineStr">
        <is>
          <t>K-022</t>
        </is>
      </c>
      <c r="B23" s="17" t="inlineStr">
        <is>
          <t>ニーエルホーム（株式会社国分ハウジング）</t>
        </is>
      </c>
      <c r="C23" s="17" t="inlineStr">
        <is>
          <t>久保 範和</t>
        </is>
      </c>
      <c r="D23" s="17" t="inlineStr"/>
      <c r="E23" s="17" t="inlineStr">
        <is>
          <t>099-296-9222</t>
        </is>
      </c>
      <c r="F23" s="17" t="inlineStr"/>
      <c r="G23" s="17" t="inlineStr">
        <is>
          <t>鹿児島市</t>
        </is>
      </c>
      <c r="H23" s="17" t="inlineStr"/>
      <c r="I23" s="17" t="inlineStr"/>
      <c r="J23" s="17" t="inlineStr"/>
      <c r="K23" s="17" t="inlineStr"/>
      <c r="L23" s="17" t="inlineStr"/>
      <c r="M23" s="17" t="inlineStr"/>
      <c r="N23" s="17" t="inlineStr"/>
      <c r="O23" s="17" t="inlineStr"/>
      <c r="P23" s="17" t="inlineStr"/>
      <c r="Q23" s="17" t="inlineStr"/>
      <c r="R23" s="17" t="inlineStr"/>
      <c r="S23" s="17" t="inlineStr"/>
      <c r="T23" s="17" t="inlineStr">
        <is>
          <t>未コール</t>
        </is>
      </c>
      <c r="U23" s="17" t="inlineStr">
        <is>
          <t>右田</t>
        </is>
      </c>
      <c r="V23" s="17" t="inlineStr">
        <is>
          <t>国分ハウジンググループ 2人暮らし専門の新築住宅</t>
        </is>
      </c>
    </row>
    <row r="24">
      <c r="A24" s="15" t="inlineStr">
        <is>
          <t>K-023</t>
        </is>
      </c>
      <c r="B24" s="15" t="inlineStr">
        <is>
          <t>サイエンスホーム鹿児島（小山工建株式会社）</t>
        </is>
      </c>
      <c r="C24" s="15" t="inlineStr">
        <is>
          <t>日当瀬 賢</t>
        </is>
      </c>
      <c r="D24" s="15" t="inlineStr"/>
      <c r="E24" s="15" t="inlineStr">
        <is>
          <t>099-223-1161</t>
        </is>
      </c>
      <c r="F24" s="15" t="inlineStr"/>
      <c r="G24" s="15" t="inlineStr">
        <is>
          <t>鹿児島市</t>
        </is>
      </c>
      <c r="H24" s="15" t="inlineStr"/>
      <c r="I24" s="15" t="inlineStr"/>
      <c r="J24" s="15" t="inlineStr"/>
      <c r="K24" s="15" t="inlineStr"/>
      <c r="L24" s="15" t="inlineStr"/>
      <c r="M24" s="15" t="inlineStr"/>
      <c r="N24" s="15" t="inlineStr"/>
      <c r="O24" s="15" t="inlineStr"/>
      <c r="P24" s="15" t="inlineStr"/>
      <c r="Q24" s="15" t="inlineStr"/>
      <c r="R24" s="15" t="inlineStr"/>
      <c r="S24" s="15" t="inlineStr"/>
      <c r="T24" s="15" t="inlineStr">
        <is>
          <t>未コール</t>
        </is>
      </c>
      <c r="U24" s="15" t="inlineStr">
        <is>
          <t>右田</t>
        </is>
      </c>
      <c r="V24" s="15" t="inlineStr">
        <is>
          <t>創業1978年7月 資本金2,200万円 綿半HDグループ</t>
        </is>
      </c>
    </row>
    <row r="25">
      <c r="A25" s="17" t="inlineStr">
        <is>
          <t>K-024</t>
        </is>
      </c>
      <c r="B25" s="17" t="inlineStr">
        <is>
          <t>おばま工務店（株式会社住まいず）</t>
        </is>
      </c>
      <c r="C25" s="17" t="inlineStr">
        <is>
          <t>有村 康弘</t>
        </is>
      </c>
      <c r="D25" s="17" t="inlineStr"/>
      <c r="E25" s="17" t="inlineStr">
        <is>
          <t>0995-64-2351</t>
        </is>
      </c>
      <c r="F25" s="17" t="inlineStr"/>
      <c r="G25" s="17" t="inlineStr">
        <is>
          <t>霧島市</t>
        </is>
      </c>
      <c r="H25" s="17" t="inlineStr"/>
      <c r="I25" s="17" t="inlineStr"/>
      <c r="J25" s="17" t="inlineStr"/>
      <c r="K25" s="17" t="inlineStr"/>
      <c r="L25" s="17" t="inlineStr"/>
      <c r="M25" s="17" t="inlineStr"/>
      <c r="N25" s="17" t="inlineStr"/>
      <c r="O25" s="17" t="inlineStr"/>
      <c r="P25" s="17" t="inlineStr"/>
      <c r="Q25" s="17" t="inlineStr"/>
      <c r="R25" s="17" t="inlineStr"/>
      <c r="S25" s="17" t="inlineStr"/>
      <c r="T25" s="17" t="inlineStr">
        <is>
          <t>未コール</t>
        </is>
      </c>
      <c r="U25" s="17" t="inlineStr">
        <is>
          <t>右田</t>
        </is>
      </c>
      <c r="V25" s="17" t="inlineStr">
        <is>
          <t>設立1999年 資本金2,000万円 社員18名</t>
        </is>
      </c>
    </row>
    <row r="26">
      <c r="A26" s="15" t="inlineStr">
        <is>
          <t>K-025</t>
        </is>
      </c>
      <c r="B26" s="15" t="inlineStr">
        <is>
          <t>株式会社中池組</t>
        </is>
      </c>
      <c r="C26" s="15" t="inlineStr">
        <is>
          <t>中池 理恵</t>
        </is>
      </c>
      <c r="D26" s="15" t="inlineStr"/>
      <c r="E26" s="15" t="inlineStr">
        <is>
          <t>0996-22-3451</t>
        </is>
      </c>
      <c r="F26" s="15" t="inlineStr"/>
      <c r="G26" s="15" t="inlineStr">
        <is>
          <t>薩摩川内市</t>
        </is>
      </c>
      <c r="H26" s="15" t="inlineStr"/>
      <c r="I26" s="15" t="inlineStr"/>
      <c r="J26" s="15" t="inlineStr"/>
      <c r="K26" s="15" t="inlineStr"/>
      <c r="L26" s="15" t="inlineStr"/>
      <c r="M26" s="15" t="inlineStr"/>
      <c r="N26" s="15" t="inlineStr"/>
      <c r="O26" s="15" t="inlineStr"/>
      <c r="P26" s="15" t="inlineStr"/>
      <c r="Q26" s="15" t="inlineStr"/>
      <c r="R26" s="15" t="inlineStr"/>
      <c r="S26" s="15" t="inlineStr"/>
      <c r="T26" s="15" t="inlineStr">
        <is>
          <t>未コール</t>
        </is>
      </c>
      <c r="U26" s="15" t="inlineStr">
        <is>
          <t>右田</t>
        </is>
      </c>
      <c r="V26" s="15" t="inlineStr">
        <is>
          <t>総合建設業 社員40名 5代目社長</t>
        </is>
      </c>
    </row>
    <row r="27">
      <c r="A27" s="17" t="inlineStr">
        <is>
          <t>K-026</t>
        </is>
      </c>
      <c r="B27" s="17" t="inlineStr">
        <is>
          <t>株式会社建築工房匠</t>
        </is>
      </c>
      <c r="C27" s="17" t="inlineStr">
        <is>
          <t>福迫（名前不明）</t>
        </is>
      </c>
      <c r="D27" s="17" t="inlineStr"/>
      <c r="E27" s="17" t="inlineStr">
        <is>
          <t>099-264-2034</t>
        </is>
      </c>
      <c r="F27" s="17" t="inlineStr"/>
      <c r="G27" s="17" t="inlineStr">
        <is>
          <t>鹿児島市</t>
        </is>
      </c>
      <c r="H27" s="17" t="inlineStr"/>
      <c r="I27" s="17" t="inlineStr"/>
      <c r="J27" s="17" t="inlineStr"/>
      <c r="K27" s="17" t="inlineStr"/>
      <c r="L27" s="17" t="inlineStr"/>
      <c r="M27" s="17" t="inlineStr"/>
      <c r="N27" s="17" t="inlineStr"/>
      <c r="O27" s="17" t="inlineStr"/>
      <c r="P27" s="17" t="inlineStr"/>
      <c r="Q27" s="17" t="inlineStr"/>
      <c r="R27" s="17" t="inlineStr"/>
      <c r="S27" s="17" t="inlineStr"/>
      <c r="T27" s="17" t="inlineStr">
        <is>
          <t>未コール</t>
        </is>
      </c>
      <c r="U27" s="17" t="inlineStr">
        <is>
          <t>右田</t>
        </is>
      </c>
      <c r="V27" s="17" t="inlineStr">
        <is>
          <t>設立2005年7月 かごしま材にこだわった家づくり</t>
        </is>
      </c>
    </row>
    <row r="28">
      <c r="A28" s="15" t="inlineStr">
        <is>
          <t>K-027</t>
        </is>
      </c>
      <c r="B28" s="15" t="inlineStr">
        <is>
          <t>鎌田建設株式会社（カマダの家）</t>
        </is>
      </c>
      <c r="C28" s="15" t="inlineStr">
        <is>
          <t>鎌田 善政</t>
        </is>
      </c>
      <c r="D28" s="15" t="inlineStr"/>
      <c r="E28" s="15" t="inlineStr">
        <is>
          <t>0995-45-3000</t>
        </is>
      </c>
      <c r="F28" s="15" t="inlineStr"/>
      <c r="G28" s="15" t="inlineStr">
        <is>
          <t>霧島市</t>
        </is>
      </c>
      <c r="H28" s="15" t="inlineStr"/>
      <c r="I28" s="15" t="inlineStr"/>
      <c r="J28" s="15" t="inlineStr"/>
      <c r="K28" s="15" t="inlineStr"/>
      <c r="L28" s="15" t="inlineStr"/>
      <c r="M28" s="15" t="inlineStr"/>
      <c r="N28" s="15" t="inlineStr"/>
      <c r="O28" s="15" t="inlineStr"/>
      <c r="P28" s="15" t="inlineStr"/>
      <c r="Q28" s="15" t="inlineStr"/>
      <c r="R28" s="15" t="inlineStr"/>
      <c r="S28" s="15" t="inlineStr"/>
      <c r="T28" s="15" t="inlineStr">
        <is>
          <t>未コール</t>
        </is>
      </c>
      <c r="U28" s="15" t="inlineStr">
        <is>
          <t>右田</t>
        </is>
      </c>
      <c r="V28" s="15" t="inlineStr">
        <is>
          <t>資本金4,000万円 土木・建築・住宅建築</t>
        </is>
      </c>
    </row>
    <row r="29">
      <c r="A29" s="17" t="inlineStr">
        <is>
          <t>K-028</t>
        </is>
      </c>
      <c r="B29" s="17" t="inlineStr">
        <is>
          <t>三洋ハウス株式会社</t>
        </is>
      </c>
      <c r="C29" s="17" t="inlineStr">
        <is>
          <t>逆瀬川 勇</t>
        </is>
      </c>
      <c r="D29" s="17" t="inlineStr"/>
      <c r="E29" s="17" t="inlineStr">
        <is>
          <t>099-285-1000</t>
        </is>
      </c>
      <c r="F29" s="17" t="inlineStr"/>
      <c r="G29" s="17" t="inlineStr">
        <is>
          <t>鹿児島市</t>
        </is>
      </c>
      <c r="H29" s="17" t="inlineStr"/>
      <c r="I29" s="17" t="inlineStr"/>
      <c r="J29" s="17" t="inlineStr"/>
      <c r="K29" s="17" t="inlineStr"/>
      <c r="L29" s="17" t="inlineStr"/>
      <c r="M29" s="17" t="inlineStr"/>
      <c r="N29" s="17" t="inlineStr"/>
      <c r="O29" s="17" t="inlineStr"/>
      <c r="P29" s="17" t="inlineStr"/>
      <c r="Q29" s="17" t="inlineStr"/>
      <c r="R29" s="17" t="inlineStr"/>
      <c r="S29" s="17" t="inlineStr"/>
      <c r="T29" s="17" t="inlineStr">
        <is>
          <t>未コール</t>
        </is>
      </c>
      <c r="U29" s="17" t="inlineStr">
        <is>
          <t>右田</t>
        </is>
      </c>
      <c r="V29" s="17" t="inlineStr">
        <is>
          <t>創業昭和53年10月 資本金2,000万円</t>
        </is>
      </c>
    </row>
    <row r="30">
      <c r="A30" s="15" t="inlineStr">
        <is>
          <t>K-029</t>
        </is>
      </c>
      <c r="B30" s="15" t="inlineStr">
        <is>
          <t>株式会社田丸ハウス（タマルハウス）</t>
        </is>
      </c>
      <c r="C30" s="15" t="inlineStr">
        <is>
          <t>不明</t>
        </is>
      </c>
      <c r="D30" s="15" t="inlineStr"/>
      <c r="E30" s="15" t="inlineStr">
        <is>
          <t>099-256-6056</t>
        </is>
      </c>
      <c r="F30" s="15" t="inlineStr"/>
      <c r="G30" s="15" t="inlineStr">
        <is>
          <t>鹿児島市</t>
        </is>
      </c>
      <c r="H30" s="15" t="inlineStr"/>
      <c r="I30" s="15" t="inlineStr"/>
      <c r="J30" s="15" t="inlineStr"/>
      <c r="K30" s="15" t="inlineStr"/>
      <c r="L30" s="15" t="inlineStr"/>
      <c r="M30" s="15" t="inlineStr"/>
      <c r="N30" s="15" t="inlineStr"/>
      <c r="O30" s="15" t="inlineStr"/>
      <c r="P30" s="15" t="inlineStr"/>
      <c r="Q30" s="15" t="inlineStr"/>
      <c r="R30" s="15" t="inlineStr"/>
      <c r="S30" s="15" t="inlineStr"/>
      <c r="T30" s="15" t="inlineStr">
        <is>
          <t>未コール</t>
        </is>
      </c>
      <c r="U30" s="15" t="inlineStr">
        <is>
          <t>右田</t>
        </is>
      </c>
      <c r="V30" s="15" t="inlineStr">
        <is>
          <t>設立平成13年6月 資本金1,000万円 テクノストラクチャー工法</t>
        </is>
      </c>
    </row>
    <row r="31">
      <c r="A31" s="17" t="inlineStr">
        <is>
          <t>K-030</t>
        </is>
      </c>
      <c r="B31" s="17" t="inlineStr">
        <is>
          <t>株式会社創造企画（創造ホーム）</t>
        </is>
      </c>
      <c r="C31" s="17" t="inlineStr">
        <is>
          <t>中村 成孝</t>
        </is>
      </c>
      <c r="D31" s="17" t="inlineStr"/>
      <c r="E31" s="17" t="inlineStr">
        <is>
          <t>099-220-5131</t>
        </is>
      </c>
      <c r="F31" s="17" t="inlineStr"/>
      <c r="G31" s="17" t="inlineStr">
        <is>
          <t>鹿児島市</t>
        </is>
      </c>
      <c r="H31" s="17" t="inlineStr"/>
      <c r="I31" s="17" t="inlineStr"/>
      <c r="J31" s="17" t="inlineStr"/>
      <c r="K31" s="17" t="inlineStr"/>
      <c r="L31" s="17" t="inlineStr"/>
      <c r="M31" s="17" t="inlineStr"/>
      <c r="N31" s="17" t="inlineStr"/>
      <c r="O31" s="17" t="inlineStr"/>
      <c r="P31" s="17" t="inlineStr"/>
      <c r="Q31" s="17" t="inlineStr"/>
      <c r="R31" s="17" t="inlineStr"/>
      <c r="S31" s="17" t="inlineStr"/>
      <c r="T31" s="17" t="inlineStr">
        <is>
          <t>未コール</t>
        </is>
      </c>
      <c r="U31" s="17" t="inlineStr">
        <is>
          <t>右田</t>
        </is>
      </c>
      <c r="V31" s="17" t="inlineStr">
        <is>
          <t>創業昭和52年4月 資本金1,000万円</t>
        </is>
      </c>
    </row>
    <row r="32">
      <c r="A32" s="15" t="inlineStr">
        <is>
          <t>K-031</t>
        </is>
      </c>
      <c r="B32" s="15" t="inlineStr">
        <is>
          <t>株式会社ウッドバンク（ウッドバンクデザイン）</t>
        </is>
      </c>
      <c r="C32" s="15" t="inlineStr">
        <is>
          <t>渡邊 千晃</t>
        </is>
      </c>
      <c r="D32" s="15" t="inlineStr"/>
      <c r="E32" s="15" t="inlineStr">
        <is>
          <t>099-220-2225</t>
        </is>
      </c>
      <c r="F32" s="15" t="inlineStr"/>
      <c r="G32" s="15" t="inlineStr">
        <is>
          <t>鹿児島市</t>
        </is>
      </c>
      <c r="H32" s="15" t="inlineStr"/>
      <c r="I32" s="15" t="inlineStr"/>
      <c r="J32" s="15" t="inlineStr"/>
      <c r="K32" s="15" t="inlineStr"/>
      <c r="L32" s="15" t="inlineStr"/>
      <c r="M32" s="15" t="inlineStr"/>
      <c r="N32" s="15" t="inlineStr"/>
      <c r="O32" s="15" t="inlineStr"/>
      <c r="P32" s="15" t="inlineStr"/>
      <c r="Q32" s="15" t="inlineStr"/>
      <c r="R32" s="15" t="inlineStr"/>
      <c r="S32" s="15" t="inlineStr"/>
      <c r="T32" s="15" t="inlineStr">
        <is>
          <t>未コール</t>
        </is>
      </c>
      <c r="U32" s="15" t="inlineStr">
        <is>
          <t>右田</t>
        </is>
      </c>
      <c r="V32" s="15" t="inlineStr">
        <is>
          <t>創業2011年6月 資本金800万円 社員10名 天然乾燥材</t>
        </is>
      </c>
    </row>
    <row r="33">
      <c r="A33" s="17" t="inlineStr">
        <is>
          <t>K-032</t>
        </is>
      </c>
      <c r="B33" s="17" t="inlineStr">
        <is>
          <t>イオン・ホーム（いおん株式会社）</t>
        </is>
      </c>
      <c r="C33" s="17" t="inlineStr">
        <is>
          <t>富田 柔文</t>
        </is>
      </c>
      <c r="D33" s="17" t="inlineStr"/>
      <c r="E33" s="17" t="inlineStr">
        <is>
          <t>099-295-0108</t>
        </is>
      </c>
      <c r="F33" s="17" t="inlineStr"/>
      <c r="G33" s="17" t="inlineStr">
        <is>
          <t>鹿児島市</t>
        </is>
      </c>
      <c r="H33" s="17" t="inlineStr"/>
      <c r="I33" s="17" t="inlineStr"/>
      <c r="J33" s="17" t="inlineStr"/>
      <c r="K33" s="17" t="inlineStr"/>
      <c r="L33" s="17" t="inlineStr"/>
      <c r="M33" s="17" t="inlineStr"/>
      <c r="N33" s="17" t="inlineStr"/>
      <c r="O33" s="17" t="inlineStr"/>
      <c r="P33" s="17" t="inlineStr"/>
      <c r="Q33" s="17" t="inlineStr"/>
      <c r="R33" s="17" t="inlineStr"/>
      <c r="S33" s="17" t="inlineStr"/>
      <c r="T33" s="17" t="inlineStr">
        <is>
          <t>未コール</t>
        </is>
      </c>
      <c r="U33" s="17" t="inlineStr">
        <is>
          <t>右田</t>
        </is>
      </c>
      <c r="V33" s="17" t="inlineStr">
        <is>
          <t>2x4工法 資本金500万円</t>
        </is>
      </c>
    </row>
    <row r="34">
      <c r="A34" s="15" t="inlineStr">
        <is>
          <t>K-033</t>
        </is>
      </c>
      <c r="B34" s="15" t="inlineStr">
        <is>
          <t>旭住宅株式会社</t>
        </is>
      </c>
      <c r="C34" s="15" t="inlineStr">
        <is>
          <t>寺迫 昭博</t>
        </is>
      </c>
      <c r="D34" s="15" t="inlineStr"/>
      <c r="E34" s="15" t="inlineStr">
        <is>
          <t>0996-25-0945</t>
        </is>
      </c>
      <c r="F34" s="15" t="inlineStr"/>
      <c r="G34" s="15" t="inlineStr">
        <is>
          <t>薩摩川内市</t>
        </is>
      </c>
      <c r="H34" s="15" t="inlineStr"/>
      <c r="I34" s="15" t="inlineStr"/>
      <c r="J34" s="15" t="inlineStr"/>
      <c r="K34" s="15" t="inlineStr"/>
      <c r="L34" s="15" t="inlineStr"/>
      <c r="M34" s="15" t="inlineStr"/>
      <c r="N34" s="15" t="inlineStr"/>
      <c r="O34" s="15" t="inlineStr"/>
      <c r="P34" s="15" t="inlineStr"/>
      <c r="Q34" s="15" t="inlineStr"/>
      <c r="R34" s="15" t="inlineStr"/>
      <c r="S34" s="15" t="inlineStr"/>
      <c r="T34" s="15" t="inlineStr">
        <is>
          <t>未コール</t>
        </is>
      </c>
      <c r="U34" s="15" t="inlineStr">
        <is>
          <t>右田</t>
        </is>
      </c>
      <c r="V34" s="15" t="inlineStr">
        <is>
          <t>設立1980年9月 資本金2,000万円 自然素材の木の家</t>
        </is>
      </c>
    </row>
    <row r="35">
      <c r="A35" s="17" t="inlineStr">
        <is>
          <t>K-034</t>
        </is>
      </c>
      <c r="B35" s="17" t="inlineStr">
        <is>
          <t>BinO鹿児島（MBC開発株式会社）</t>
        </is>
      </c>
      <c r="C35" s="17" t="inlineStr">
        <is>
          <t>陶山 賢治</t>
        </is>
      </c>
      <c r="D35" s="17" t="inlineStr"/>
      <c r="E35" s="17" t="inlineStr">
        <is>
          <t>099-226-7777</t>
        </is>
      </c>
      <c r="F35" s="17" t="inlineStr"/>
      <c r="G35" s="17" t="inlineStr">
        <is>
          <t>鹿児島市</t>
        </is>
      </c>
      <c r="H35" s="17" t="inlineStr"/>
      <c r="I35" s="17" t="inlineStr"/>
      <c r="J35" s="17" t="inlineStr"/>
      <c r="K35" s="17" t="inlineStr"/>
      <c r="L35" s="17" t="inlineStr"/>
      <c r="M35" s="17" t="inlineStr"/>
      <c r="N35" s="17" t="inlineStr"/>
      <c r="O35" s="17" t="inlineStr"/>
      <c r="P35" s="17" t="inlineStr"/>
      <c r="Q35" s="17" t="inlineStr"/>
      <c r="R35" s="17" t="inlineStr"/>
      <c r="S35" s="17" t="inlineStr"/>
      <c r="T35" s="17" t="inlineStr">
        <is>
          <t>未コール</t>
        </is>
      </c>
      <c r="U35" s="17" t="inlineStr">
        <is>
          <t>右田</t>
        </is>
      </c>
      <c r="V35" s="17" t="inlineStr">
        <is>
          <t>MBC開発が運営するBinOブランド スキップフロア住宅</t>
        </is>
      </c>
    </row>
    <row r="36">
      <c r="A36" s="15" t="inlineStr">
        <is>
          <t>K-035</t>
        </is>
      </c>
      <c r="B36" s="15" t="inlineStr">
        <is>
          <t>株式会社技建</t>
        </is>
      </c>
      <c r="C36" s="15" t="inlineStr">
        <is>
          <t>桑木野 芳明</t>
        </is>
      </c>
      <c r="D36" s="15" t="inlineStr"/>
      <c r="E36" s="15" t="inlineStr">
        <is>
          <t>0996-25-2208</t>
        </is>
      </c>
      <c r="F36" s="15" t="inlineStr"/>
      <c r="G36" s="15" t="inlineStr">
        <is>
          <t>薩摩川内市</t>
        </is>
      </c>
      <c r="H36" s="15" t="inlineStr"/>
      <c r="I36" s="15" t="inlineStr"/>
      <c r="J36" s="15" t="inlineStr"/>
      <c r="K36" s="15" t="inlineStr"/>
      <c r="L36" s="15" t="inlineStr"/>
      <c r="M36" s="15" t="inlineStr"/>
      <c r="N36" s="15" t="inlineStr"/>
      <c r="O36" s="15" t="inlineStr"/>
      <c r="P36" s="15" t="inlineStr"/>
      <c r="Q36" s="15" t="inlineStr"/>
      <c r="R36" s="15" t="inlineStr"/>
      <c r="S36" s="15" t="inlineStr"/>
      <c r="T36" s="15" t="inlineStr">
        <is>
          <t>未コール</t>
        </is>
      </c>
      <c r="U36" s="15" t="inlineStr">
        <is>
          <t>右田</t>
        </is>
      </c>
      <c r="V36" s="15" t="inlineStr">
        <is>
          <t>創業昭和52年9月 資本金2,000万円</t>
        </is>
      </c>
    </row>
    <row r="37">
      <c r="A37" s="17" t="inlineStr">
        <is>
          <t>K-036</t>
        </is>
      </c>
      <c r="B37" s="17" t="inlineStr">
        <is>
          <t>丸和建設株式会社</t>
        </is>
      </c>
      <c r="C37" s="17" t="inlineStr">
        <is>
          <t>和田 康伸</t>
        </is>
      </c>
      <c r="D37" s="17" t="inlineStr"/>
      <c r="E37" s="17" t="inlineStr">
        <is>
          <t>099-269-7600</t>
        </is>
      </c>
      <c r="F37" s="17" t="inlineStr"/>
      <c r="G37" s="17" t="inlineStr">
        <is>
          <t>鹿児島市</t>
        </is>
      </c>
      <c r="H37" s="17" t="inlineStr"/>
      <c r="I37" s="17" t="inlineStr"/>
      <c r="J37" s="17" t="inlineStr"/>
      <c r="K37" s="17" t="inlineStr"/>
      <c r="L37" s="17" t="inlineStr"/>
      <c r="M37" s="17" t="inlineStr"/>
      <c r="N37" s="17" t="inlineStr"/>
      <c r="O37" s="17" t="inlineStr"/>
      <c r="P37" s="17" t="inlineStr"/>
      <c r="Q37" s="17" t="inlineStr"/>
      <c r="R37" s="17" t="inlineStr"/>
      <c r="S37" s="17" t="inlineStr"/>
      <c r="T37" s="17" t="inlineStr">
        <is>
          <t>未コール</t>
        </is>
      </c>
      <c r="U37" s="17" t="inlineStr">
        <is>
          <t>右田</t>
        </is>
      </c>
      <c r="V37" s="17" t="inlineStr">
        <is>
          <t>ID8と重複 創業1980年10月 資本金3,000万円</t>
        </is>
      </c>
    </row>
    <row r="38">
      <c r="A38" s="15" t="inlineStr">
        <is>
          <t>K-037</t>
        </is>
      </c>
      <c r="B38" s="15" t="inlineStr">
        <is>
          <t>万代ホーム株式会社</t>
        </is>
      </c>
      <c r="C38" s="15" t="inlineStr">
        <is>
          <t>濵田 龍太郎</t>
        </is>
      </c>
      <c r="D38" s="15" t="inlineStr"/>
      <c r="E38" s="15" t="inlineStr">
        <is>
          <t>099-202-0121</t>
        </is>
      </c>
      <c r="F38" s="15" t="inlineStr"/>
      <c r="G38" s="15" t="inlineStr">
        <is>
          <t>都城市（鹿児島展開）</t>
        </is>
      </c>
      <c r="H38" s="15" t="inlineStr"/>
      <c r="I38" s="15" t="inlineStr"/>
      <c r="J38" s="15" t="inlineStr"/>
      <c r="K38" s="15" t="inlineStr"/>
      <c r="L38" s="15" t="inlineStr"/>
      <c r="M38" s="15" t="inlineStr"/>
      <c r="N38" s="15" t="inlineStr"/>
      <c r="O38" s="15" t="inlineStr"/>
      <c r="P38" s="15" t="inlineStr"/>
      <c r="Q38" s="15" t="inlineStr"/>
      <c r="R38" s="15" t="inlineStr"/>
      <c r="S38" s="15" t="inlineStr"/>
      <c r="T38" s="15" t="inlineStr">
        <is>
          <t>未コール</t>
        </is>
      </c>
      <c r="U38" s="15" t="inlineStr">
        <is>
          <t>右田</t>
        </is>
      </c>
      <c r="V38" s="15" t="inlineStr">
        <is>
          <t>創業昭和58年1月 資本金1,000万円 鹿児島MBC展示場あり</t>
        </is>
      </c>
    </row>
    <row r="39">
      <c r="A39" s="17" t="inlineStr">
        <is>
          <t>K-038</t>
        </is>
      </c>
      <c r="B39" s="17" t="inlineStr">
        <is>
          <t>ニシヤマホーム</t>
        </is>
      </c>
      <c r="C39" s="17" t="inlineStr">
        <is>
          <t>不明</t>
        </is>
      </c>
      <c r="D39" s="17" t="inlineStr"/>
      <c r="E39" s="17" t="inlineStr">
        <is>
          <t>不明</t>
        </is>
      </c>
      <c r="F39" s="17" t="inlineStr"/>
      <c r="G39" s="17" t="inlineStr">
        <is>
          <t>宮崎（鹿児島展開）</t>
        </is>
      </c>
      <c r="H39" s="17" t="inlineStr"/>
      <c r="I39" s="17" t="inlineStr"/>
      <c r="J39" s="17" t="inlineStr"/>
      <c r="K39" s="17" t="inlineStr"/>
      <c r="L39" s="17" t="inlineStr"/>
      <c r="M39" s="17" t="inlineStr"/>
      <c r="N39" s="17" t="inlineStr"/>
      <c r="O39" s="17" t="inlineStr"/>
      <c r="P39" s="17" t="inlineStr"/>
      <c r="Q39" s="17" t="inlineStr"/>
      <c r="R39" s="17" t="inlineStr"/>
      <c r="S39" s="17" t="inlineStr"/>
      <c r="T39" s="17" t="inlineStr">
        <is>
          <t>未コール</t>
        </is>
      </c>
      <c r="U39" s="17" t="inlineStr">
        <is>
          <t>右田</t>
        </is>
      </c>
      <c r="V39" s="17" t="inlineStr">
        <is>
          <t>宮崎拠点 注文住宅・リフォーム・分譲住宅</t>
        </is>
      </c>
    </row>
    <row r="40">
      <c r="A40" s="15" t="inlineStr">
        <is>
          <t>K-039</t>
        </is>
      </c>
      <c r="B40" s="15" t="inlineStr">
        <is>
          <t>株式会社アリマコーポレーション</t>
        </is>
      </c>
      <c r="C40" s="15" t="inlineStr">
        <is>
          <t>有馬 正治</t>
        </is>
      </c>
      <c r="D40" s="15" t="inlineStr"/>
      <c r="E40" s="15" t="inlineStr">
        <is>
          <t>099-253-6115</t>
        </is>
      </c>
      <c r="F40" s="15" t="inlineStr"/>
      <c r="G40" s="15" t="inlineStr">
        <is>
          <t>鹿児島市</t>
        </is>
      </c>
      <c r="H40" s="15" t="inlineStr"/>
      <c r="I40" s="15" t="inlineStr"/>
      <c r="J40" s="15" t="inlineStr"/>
      <c r="K40" s="15" t="inlineStr"/>
      <c r="L40" s="15" t="inlineStr"/>
      <c r="M40" s="15" t="inlineStr"/>
      <c r="N40" s="15" t="inlineStr"/>
      <c r="O40" s="15" t="inlineStr"/>
      <c r="P40" s="15" t="inlineStr"/>
      <c r="Q40" s="15" t="inlineStr"/>
      <c r="R40" s="15" t="inlineStr"/>
      <c r="S40" s="15" t="inlineStr"/>
      <c r="T40" s="15" t="inlineStr">
        <is>
          <t>未コール</t>
        </is>
      </c>
      <c r="U40" s="15" t="inlineStr">
        <is>
          <t>右田</t>
        </is>
      </c>
      <c r="V40" s="15" t="inlineStr">
        <is>
          <t>資本金3,000万円 A+CRAFT HOMEブランド</t>
        </is>
      </c>
    </row>
    <row r="41">
      <c r="A41" s="17" t="inlineStr">
        <is>
          <t>K-040</t>
        </is>
      </c>
      <c r="B41" s="17" t="inlineStr">
        <is>
          <t>有限会社イヤダニ工務店</t>
        </is>
      </c>
      <c r="C41" s="17" t="inlineStr">
        <is>
          <t>袰谷 圭太</t>
        </is>
      </c>
      <c r="D41" s="17" t="inlineStr"/>
      <c r="E41" s="17" t="inlineStr">
        <is>
          <t>099-298-2883</t>
        </is>
      </c>
      <c r="F41" s="17" t="inlineStr"/>
      <c r="G41" s="17" t="inlineStr">
        <is>
          <t>鹿児島市</t>
        </is>
      </c>
      <c r="H41" s="17" t="inlineStr"/>
      <c r="I41" s="17" t="inlineStr"/>
      <c r="J41" s="17" t="inlineStr"/>
      <c r="K41" s="17" t="inlineStr"/>
      <c r="L41" s="17" t="inlineStr"/>
      <c r="M41" s="17" t="inlineStr"/>
      <c r="N41" s="17" t="inlineStr"/>
      <c r="O41" s="17" t="inlineStr"/>
      <c r="P41" s="17" t="inlineStr"/>
      <c r="Q41" s="17" t="inlineStr"/>
      <c r="R41" s="17" t="inlineStr"/>
      <c r="S41" s="17" t="inlineStr"/>
      <c r="T41" s="17" t="inlineStr">
        <is>
          <t>未コール</t>
        </is>
      </c>
      <c r="U41" s="17" t="inlineStr">
        <is>
          <t>右田</t>
        </is>
      </c>
      <c r="V41" s="17" t="inlineStr">
        <is>
          <t>創業平成4年8月 自由設計住宅・オリジナル家具</t>
        </is>
      </c>
    </row>
  </sheetData>
  <autoFilter ref="A1:V100"/>
  <dataValidations count="3">
    <dataValidation sqref="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showDropDown="0" showInputMessage="0" showErrorMessage="0" allowBlank="1" errorTitle="無効な値" error="選択肢から選んでください" type="list">
      <formula1>"未コール,コール済み,資料送付済み,商談調整中,商談済み,申込済み,見送り"</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showDropDown="0" showInputMessage="0" showErrorMessage="0" allowBlank="1" errorTitle="無効な値" error="選択肢から選んでください" type="list">
      <formula1>"右田,営業A,営業B"</formula1>
    </dataValidation>
    <dataValidation sqref="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howDropDown="0" showInputMessage="0" showErrorMessage="0" allowBlank="1" errorTitle="無効な値" error="選択肢から選んでください" type="list">
      <formula1>"フリープラン,成果報酬,掲載ベーシック,掲載プロ"</formula1>
    </dataValidation>
  </dataValidations>
  <pageMargins left="0.75" right="0.75" top="1" bottom="1" header="0.5" footer="0.5"/>
</worksheet>
</file>

<file path=xl/worksheets/sheet5.xml><?xml version="1.0" encoding="utf-8"?>
<worksheet xmlns="http://schemas.openxmlformats.org/spreadsheetml/2006/main">
  <sheetPr>
    <tabColor rgb="003498DB"/>
    <outlinePr summaryBelow="1" summaryRight="1"/>
    <pageSetUpPr/>
  </sheetPr>
  <dimension ref="A1:X1"/>
  <sheetViews>
    <sheetView workbookViewId="0">
      <selection activeCell="A1" sqref="A1"/>
    </sheetView>
  </sheetViews>
  <sheetFormatPr baseColWidth="8" defaultRowHeight="15"/>
  <cols>
    <col width="14" customWidth="1" min="1" max="1"/>
    <col width="2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14" t="inlineStr">
        <is>
          <t>ID</t>
        </is>
      </c>
      <c r="B1" s="14" t="inlineStr">
        <is>
          <t>企業名</t>
        </is>
      </c>
      <c r="C1" s="14" t="inlineStr">
        <is>
          <t>代表者</t>
        </is>
      </c>
      <c r="D1" s="14" t="inlineStr">
        <is>
          <t>担当者</t>
        </is>
      </c>
      <c r="E1" s="14" t="inlineStr">
        <is>
          <t>電話番号</t>
        </is>
      </c>
      <c r="F1" s="14" t="inlineStr">
        <is>
          <t>メール</t>
        </is>
      </c>
      <c r="G1" s="14" t="inlineStr">
        <is>
          <t>都道府県</t>
        </is>
      </c>
      <c r="H1" s="14" t="inlineStr">
        <is>
          <t>従業員数</t>
        </is>
      </c>
      <c r="I1" s="14" t="inlineStr">
        <is>
          <t>年間施工数</t>
        </is>
      </c>
      <c r="J1" s="14" t="inlineStr">
        <is>
          <t>平屋実績</t>
        </is>
      </c>
      <c r="K1" s="14" t="inlineStr">
        <is>
          <t>1回目コール日</t>
        </is>
      </c>
      <c r="L1" s="14" t="inlineStr">
        <is>
          <t>1回目結果</t>
        </is>
      </c>
      <c r="M1" s="14" t="inlineStr">
        <is>
          <t>2回目コール日</t>
        </is>
      </c>
      <c r="N1" s="14" t="inlineStr">
        <is>
          <t>2回目結果</t>
        </is>
      </c>
      <c r="O1" s="14" t="inlineStr">
        <is>
          <t>資料送付日</t>
        </is>
      </c>
      <c r="P1" s="14" t="inlineStr">
        <is>
          <t>商談日</t>
        </is>
      </c>
      <c r="Q1" s="14" t="inlineStr">
        <is>
          <t>商談結果</t>
        </is>
      </c>
      <c r="R1" s="14" t="inlineStr">
        <is>
          <t>見積金額</t>
        </is>
      </c>
      <c r="S1" s="14" t="inlineStr">
        <is>
          <t>契約日</t>
        </is>
      </c>
      <c r="T1" s="14" t="inlineStr">
        <is>
          <t>契約プラン</t>
        </is>
      </c>
      <c r="U1" s="14" t="inlineStr">
        <is>
          <t>月額</t>
        </is>
      </c>
      <c r="V1" s="14" t="inlineStr">
        <is>
          <t>ステータス</t>
        </is>
      </c>
      <c r="W1" s="14" t="inlineStr">
        <is>
          <t>担当者(自社)</t>
        </is>
      </c>
      <c r="X1" s="14" t="inlineStr">
        <is>
          <t>メモ</t>
        </is>
      </c>
    </row>
  </sheetData>
  <autoFilter ref="A1:X100"/>
  <dataValidations count="3">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showDropDown="0" showInputMessage="0" showErrorMessage="0" allowBlank="1" errorTitle="無効な値" error="選択肢から選んでください" type="list">
      <formula1>"未コール,コール済み,資料送付済み,商談調整中,商談済み,見積提出,契約済み,見送り"</formula1>
    </dataValidation>
    <dataValidation sqref="W2 W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showDropDown="0" showInputMessage="0" showErrorMessage="0" allowBlank="1" errorTitle="無効な値" error="選択肢から選んでください" type="list">
      <formula1>"右田,営業A,営業B"</formula1>
    </dataValidation>
    <dataValidation sqref="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showDropDown="0" showInputMessage="0" showErrorMessage="0" allowBlank="1" errorTitle="無効な値" error="選択肢から選んでください" type="list">
      <formula1>"エントリー,グロース,プレミアム"</formula1>
    </dataValidation>
  </dataValidation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A1:M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25" customWidth="1" min="10" max="10"/>
    <col width="15" customWidth="1" min="11" max="11"/>
    <col width="15" customWidth="1" min="12" max="12"/>
    <col width="15" customWidth="1" min="13" max="13"/>
  </cols>
  <sheetData>
    <row r="1">
      <c r="A1" s="14" t="inlineStr">
        <is>
          <t>ID</t>
        </is>
      </c>
      <c r="B1" s="14" t="inlineStr">
        <is>
          <t>企業名</t>
        </is>
      </c>
      <c r="C1" s="14" t="inlineStr">
        <is>
          <t>商品種別</t>
        </is>
      </c>
      <c r="D1" s="14" t="inlineStr">
        <is>
          <t>提案プラン</t>
        </is>
      </c>
      <c r="E1" s="14" t="inlineStr">
        <is>
          <t>ステージ</t>
        </is>
      </c>
      <c r="F1" s="14" t="inlineStr">
        <is>
          <t>確度</t>
        </is>
      </c>
      <c r="G1" s="14" t="inlineStr">
        <is>
          <t>見積金額</t>
        </is>
      </c>
      <c r="H1" s="14" t="inlineStr">
        <is>
          <t>月額想定</t>
        </is>
      </c>
      <c r="I1" s="14" t="inlineStr">
        <is>
          <t>担当者</t>
        </is>
      </c>
      <c r="J1" s="14" t="inlineStr">
        <is>
          <t>次アクション</t>
        </is>
      </c>
      <c r="K1" s="14" t="inlineStr">
        <is>
          <t>次アクション期日</t>
        </is>
      </c>
      <c r="L1" s="14" t="inlineStr">
        <is>
          <t>メモ</t>
        </is>
      </c>
      <c r="M1" s="14" t="inlineStr">
        <is>
          <t>更新日</t>
        </is>
      </c>
    </row>
  </sheetData>
  <autoFilter ref="A1:M100"/>
  <dataValidations count="4">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1" errorTitle="無効な値" error="選択肢から選んでください" type="list">
      <formula1>"PF掲載,マーケ支援,セット"</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showDropDown="0" showInputMessage="0" showErrorMessage="0" allowBlank="1" errorTitle="無効な値" error="選択肢から選んでください" type="list">
      <formula1>"リード,商談調整,商談済み,見積提出,契約交渉,契約済み,失注"</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showDropDown="0" showInputMessage="0" showErrorMessage="0" allowBlank="1" errorTitle="無効な値" error="選択肢から選んでください" type="list">
      <formula1>"A（90%）,B（60%）,C（30%）,D（10%）"</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showDropDown="0" showInputMessage="0" showErrorMessage="0" allowBlank="1" errorTitle="無効な値" error="選択肢から選んでください" type="list">
      <formula1>"右田,営業A,営業B"</formula1>
    </dataValidation>
  </dataValidations>
  <pageMargins left="0.75" right="0.75" top="1" bottom="1" header="0.5" footer="0.5"/>
</worksheet>
</file>

<file path=xl/worksheets/sheet7.xml><?xml version="1.0" encoding="utf-8"?>
<worksheet xmlns="http://schemas.openxmlformats.org/spreadsheetml/2006/main">
  <sheetPr>
    <tabColor rgb="00E67E22"/>
    <outlinePr summaryBelow="1" summaryRight="1"/>
    <pageSetUpPr/>
  </sheetPr>
  <dimension ref="A1:L21"/>
  <sheetViews>
    <sheetView workbookViewId="0">
      <selection activeCell="A1" sqref="A1"/>
    </sheetView>
  </sheetViews>
  <sheetFormatPr baseColWidth="8" defaultRowHeight="15"/>
  <cols>
    <col width="14" customWidth="1" min="1" max="1"/>
    <col width="14" customWidth="1" min="2" max="2"/>
    <col width="30" customWidth="1" min="3" max="3"/>
    <col width="35"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4" t="inlineStr">
        <is>
          <t>ID</t>
        </is>
      </c>
      <c r="B1" s="14" t="inlineStr">
        <is>
          <t>カテゴリ</t>
        </is>
      </c>
      <c r="C1" s="14" t="inlineStr">
        <is>
          <t>タスク名</t>
        </is>
      </c>
      <c r="D1" s="14" t="inlineStr">
        <is>
          <t>詳細</t>
        </is>
      </c>
      <c r="E1" s="14" t="inlineStr">
        <is>
          <t>担当者</t>
        </is>
      </c>
      <c r="F1" s="14" t="inlineStr">
        <is>
          <t>優先度</t>
        </is>
      </c>
      <c r="G1" s="14" t="inlineStr">
        <is>
          <t>開始日</t>
        </is>
      </c>
      <c r="H1" s="14" t="inlineStr">
        <is>
          <t>期限</t>
        </is>
      </c>
      <c r="I1" s="14" t="inlineStr">
        <is>
          <t>ステータス</t>
        </is>
      </c>
      <c r="J1" s="14" t="inlineStr">
        <is>
          <t>進捗%</t>
        </is>
      </c>
      <c r="K1" s="14" t="inlineStr">
        <is>
          <t>成果物</t>
        </is>
      </c>
      <c r="L1" s="14" t="inlineStr">
        <is>
          <t>メモ</t>
        </is>
      </c>
    </row>
    <row r="2">
      <c r="A2" s="15" t="inlineStr">
        <is>
          <t>S-01</t>
        </is>
      </c>
      <c r="B2" s="15" t="inlineStr">
        <is>
          <t>営業準備</t>
        </is>
      </c>
      <c r="C2" s="15" t="inlineStr">
        <is>
          <t>テレアポリスト作成（鹿児島50社）</t>
        </is>
      </c>
      <c r="D2" s="15" t="inlineStr">
        <is>
          <t>鹿児島の工務店・ハウスメーカーをリストアップ</t>
        </is>
      </c>
      <c r="E2" s="15" t="inlineStr">
        <is>
          <t>右田</t>
        </is>
      </c>
      <c r="F2" s="16" t="inlineStr">
        <is>
          <t>高</t>
        </is>
      </c>
      <c r="G2" s="15" t="inlineStr">
        <is>
          <t>2026/3/24</t>
        </is>
      </c>
      <c r="H2" s="15" t="inlineStr">
        <is>
          <t>2026/3/28</t>
        </is>
      </c>
      <c r="I2" s="15" t="inlineStr">
        <is>
          <t>未着手</t>
        </is>
      </c>
      <c r="J2" s="15" t="inlineStr">
        <is>
          <t>0%</t>
        </is>
      </c>
      <c r="K2" s="15" t="inlineStr">
        <is>
          <t>リスト</t>
        </is>
      </c>
      <c r="L2" s="15" t="inlineStr"/>
    </row>
    <row r="3">
      <c r="A3" s="17" t="inlineStr">
        <is>
          <t>S-02</t>
        </is>
      </c>
      <c r="B3" s="17" t="inlineStr">
        <is>
          <t>営業準備</t>
        </is>
      </c>
      <c r="C3" s="17" t="inlineStr">
        <is>
          <t>テレアポリスト作成（全国30社）</t>
        </is>
      </c>
      <c r="D3" s="17" t="inlineStr">
        <is>
          <t>全国の平屋施工実績のある工務店をリストアップ</t>
        </is>
      </c>
      <c r="E3" s="17" t="inlineStr">
        <is>
          <t>営業A</t>
        </is>
      </c>
      <c r="F3" s="16" t="inlineStr">
        <is>
          <t>高</t>
        </is>
      </c>
      <c r="G3" s="17" t="inlineStr">
        <is>
          <t>2026/3/24</t>
        </is>
      </c>
      <c r="H3" s="17" t="inlineStr">
        <is>
          <t>2026/3/28</t>
        </is>
      </c>
      <c r="I3" s="17" t="inlineStr">
        <is>
          <t>未着手</t>
        </is>
      </c>
      <c r="J3" s="17" t="inlineStr">
        <is>
          <t>0%</t>
        </is>
      </c>
      <c r="K3" s="17" t="inlineStr">
        <is>
          <t>リスト</t>
        </is>
      </c>
      <c r="L3" s="17" t="inlineStr"/>
    </row>
    <row r="4">
      <c r="A4" s="15" t="inlineStr">
        <is>
          <t>S-03</t>
        </is>
      </c>
      <c r="B4" s="15" t="inlineStr">
        <is>
          <t>営業準備</t>
        </is>
      </c>
      <c r="C4" s="15" t="inlineStr">
        <is>
          <t>営業資料最終確認</t>
        </is>
      </c>
      <c r="D4" s="15" t="inlineStr">
        <is>
          <t>提案書・チラシ・申込書の内容最終チェック</t>
        </is>
      </c>
      <c r="E4" s="15" t="inlineStr">
        <is>
          <t>右田</t>
        </is>
      </c>
      <c r="F4" s="16" t="inlineStr">
        <is>
          <t>高</t>
        </is>
      </c>
      <c r="G4" s="15" t="inlineStr">
        <is>
          <t>2026/3/24</t>
        </is>
      </c>
      <c r="H4" s="15" t="inlineStr">
        <is>
          <t>2026/3/28</t>
        </is>
      </c>
      <c r="I4" s="15" t="inlineStr">
        <is>
          <t>未着手</t>
        </is>
      </c>
      <c r="J4" s="15" t="inlineStr">
        <is>
          <t>0%</t>
        </is>
      </c>
      <c r="K4" s="15" t="inlineStr">
        <is>
          <t>確認済み資料</t>
        </is>
      </c>
      <c r="L4" s="15" t="inlineStr"/>
    </row>
    <row r="5">
      <c r="A5" s="17" t="inlineStr">
        <is>
          <t>S-04</t>
        </is>
      </c>
      <c r="B5" s="17" t="inlineStr">
        <is>
          <t>営業準備</t>
        </is>
      </c>
      <c r="C5" s="17" t="inlineStr">
        <is>
          <t>テレアポロープレ実施</t>
        </is>
      </c>
      <c r="D5" s="17" t="inlineStr">
        <is>
          <t>スクリプトを使って練習。反論対応の確認</t>
        </is>
      </c>
      <c r="E5" s="17" t="inlineStr">
        <is>
          <t>全員</t>
        </is>
      </c>
      <c r="F5" s="16" t="inlineStr">
        <is>
          <t>高</t>
        </is>
      </c>
      <c r="G5" s="17" t="inlineStr">
        <is>
          <t>2026/3/27</t>
        </is>
      </c>
      <c r="H5" s="17" t="inlineStr">
        <is>
          <t>2026/3/28</t>
        </is>
      </c>
      <c r="I5" s="17" t="inlineStr">
        <is>
          <t>未着手</t>
        </is>
      </c>
      <c r="J5" s="17" t="inlineStr">
        <is>
          <t>0%</t>
        </is>
      </c>
      <c r="K5" s="17" t="inlineStr"/>
      <c r="L5" s="17" t="inlineStr"/>
    </row>
    <row r="6">
      <c r="A6" s="15" t="inlineStr">
        <is>
          <t>S-05</t>
        </is>
      </c>
      <c r="B6" s="15" t="inlineStr">
        <is>
          <t>PF掲載営業</t>
        </is>
      </c>
      <c r="C6" s="15" t="inlineStr">
        <is>
          <t>テレアポ実施（鹿児島）Week2</t>
        </is>
      </c>
      <c r="D6" s="15" t="inlineStr">
        <is>
          <t>目標80件コール</t>
        </is>
      </c>
      <c r="E6" s="15" t="inlineStr">
        <is>
          <t>右田</t>
        </is>
      </c>
      <c r="F6" s="16" t="inlineStr">
        <is>
          <t>高</t>
        </is>
      </c>
      <c r="G6" s="15" t="inlineStr">
        <is>
          <t>2026/3/31</t>
        </is>
      </c>
      <c r="H6" s="15" t="inlineStr">
        <is>
          <t>2026/4/4</t>
        </is>
      </c>
      <c r="I6" s="15" t="inlineStr">
        <is>
          <t>未着手</t>
        </is>
      </c>
      <c r="J6" s="15" t="inlineStr">
        <is>
          <t>0%</t>
        </is>
      </c>
      <c r="K6" s="15" t="inlineStr"/>
      <c r="L6" s="15" t="inlineStr"/>
    </row>
    <row r="7">
      <c r="A7" s="17" t="inlineStr">
        <is>
          <t>S-06</t>
        </is>
      </c>
      <c r="B7" s="17" t="inlineStr">
        <is>
          <t>マーケ支援営業</t>
        </is>
      </c>
      <c r="C7" s="17" t="inlineStr">
        <is>
          <t>テレアポ実施（全国）Week2</t>
        </is>
      </c>
      <c r="D7" s="17" t="inlineStr">
        <is>
          <t>目標40件コール</t>
        </is>
      </c>
      <c r="E7" s="17" t="inlineStr">
        <is>
          <t>営業A</t>
        </is>
      </c>
      <c r="F7" s="16" t="inlineStr">
        <is>
          <t>高</t>
        </is>
      </c>
      <c r="G7" s="17" t="inlineStr">
        <is>
          <t>2026/3/31</t>
        </is>
      </c>
      <c r="H7" s="17" t="inlineStr">
        <is>
          <t>2026/4/4</t>
        </is>
      </c>
      <c r="I7" s="17" t="inlineStr">
        <is>
          <t>未着手</t>
        </is>
      </c>
      <c r="J7" s="17" t="inlineStr">
        <is>
          <t>0%</t>
        </is>
      </c>
      <c r="K7" s="17" t="inlineStr"/>
      <c r="L7" s="17" t="inlineStr"/>
    </row>
    <row r="8">
      <c r="A8" s="15" t="inlineStr">
        <is>
          <t>S-07</t>
        </is>
      </c>
      <c r="B8" s="15" t="inlineStr">
        <is>
          <t>PF掲載営業</t>
        </is>
      </c>
      <c r="C8" s="15" t="inlineStr">
        <is>
          <t>資料送付フォロー</t>
        </is>
      </c>
      <c r="D8" s="15" t="inlineStr">
        <is>
          <t>テレアポ後の資料送付＋翌日フォロー</t>
        </is>
      </c>
      <c r="E8" s="15" t="inlineStr">
        <is>
          <t>右田</t>
        </is>
      </c>
      <c r="F8" s="16" t="inlineStr">
        <is>
          <t>高</t>
        </is>
      </c>
      <c r="G8" s="15" t="inlineStr">
        <is>
          <t>2026/4/1</t>
        </is>
      </c>
      <c r="H8" s="15" t="inlineStr">
        <is>
          <t>2026/4/11</t>
        </is>
      </c>
      <c r="I8" s="15" t="inlineStr">
        <is>
          <t>未着手</t>
        </is>
      </c>
      <c r="J8" s="15" t="inlineStr">
        <is>
          <t>0%</t>
        </is>
      </c>
      <c r="K8" s="15" t="inlineStr"/>
      <c r="L8" s="15" t="inlineStr"/>
    </row>
    <row r="9">
      <c r="A9" s="17" t="inlineStr">
        <is>
          <t>S-08</t>
        </is>
      </c>
      <c r="B9" s="17" t="inlineStr">
        <is>
          <t>PF掲載営業</t>
        </is>
      </c>
      <c r="C9" s="17" t="inlineStr">
        <is>
          <t>テレアポ継続（鹿児島）Week3</t>
        </is>
      </c>
      <c r="D9" s="17" t="inlineStr">
        <is>
          <t>目標60件コール</t>
        </is>
      </c>
      <c r="E9" s="17" t="inlineStr">
        <is>
          <t>右田</t>
        </is>
      </c>
      <c r="F9" s="16" t="inlineStr">
        <is>
          <t>高</t>
        </is>
      </c>
      <c r="G9" s="17" t="inlineStr">
        <is>
          <t>2026/4/7</t>
        </is>
      </c>
      <c r="H9" s="17" t="inlineStr">
        <is>
          <t>2026/4/11</t>
        </is>
      </c>
      <c r="I9" s="17" t="inlineStr">
        <is>
          <t>未着手</t>
        </is>
      </c>
      <c r="J9" s="17" t="inlineStr">
        <is>
          <t>0%</t>
        </is>
      </c>
      <c r="K9" s="17" t="inlineStr"/>
      <c r="L9" s="17" t="inlineStr"/>
    </row>
    <row r="10">
      <c r="A10" s="15" t="inlineStr">
        <is>
          <t>S-09</t>
        </is>
      </c>
      <c r="B10" s="15" t="inlineStr">
        <is>
          <t>マーケ支援営業</t>
        </is>
      </c>
      <c r="C10" s="15" t="inlineStr">
        <is>
          <t>オンライン商談（マーケ支援）</t>
        </is>
      </c>
      <c r="D10" s="15" t="inlineStr">
        <is>
          <t>目標3〜5社</t>
        </is>
      </c>
      <c r="E10" s="15" t="inlineStr">
        <is>
          <t>営業A</t>
        </is>
      </c>
      <c r="F10" s="16" t="inlineStr">
        <is>
          <t>高</t>
        </is>
      </c>
      <c r="G10" s="15" t="inlineStr">
        <is>
          <t>2026/4/7</t>
        </is>
      </c>
      <c r="H10" s="15" t="inlineStr">
        <is>
          <t>2026/4/11</t>
        </is>
      </c>
      <c r="I10" s="15" t="inlineStr">
        <is>
          <t>未着手</t>
        </is>
      </c>
      <c r="J10" s="15" t="inlineStr">
        <is>
          <t>0%</t>
        </is>
      </c>
      <c r="K10" s="15" t="inlineStr"/>
      <c r="L10" s="15" t="inlineStr"/>
    </row>
    <row r="11">
      <c r="A11" s="17" t="inlineStr">
        <is>
          <t>S-10</t>
        </is>
      </c>
      <c r="B11" s="17" t="inlineStr">
        <is>
          <t>PF掲載営業</t>
        </is>
      </c>
      <c r="C11" s="17" t="inlineStr">
        <is>
          <t>訪問商談（PF掲載）</t>
        </is>
      </c>
      <c r="D11" s="17" t="inlineStr">
        <is>
          <t>資料送付先への訪問提案</t>
        </is>
      </c>
      <c r="E11" s="17" t="inlineStr">
        <is>
          <t>右田</t>
        </is>
      </c>
      <c r="F11" s="16" t="inlineStr">
        <is>
          <t>高</t>
        </is>
      </c>
      <c r="G11" s="17" t="inlineStr">
        <is>
          <t>2026/4/7</t>
        </is>
      </c>
      <c r="H11" s="17" t="inlineStr">
        <is>
          <t>2026/4/18</t>
        </is>
      </c>
      <c r="I11" s="17" t="inlineStr">
        <is>
          <t>未着手</t>
        </is>
      </c>
      <c r="J11" s="17" t="inlineStr">
        <is>
          <t>0%</t>
        </is>
      </c>
      <c r="K11" s="17" t="inlineStr"/>
      <c r="L11" s="17" t="inlineStr"/>
    </row>
    <row r="12">
      <c r="A12" s="15" t="inlineStr">
        <is>
          <t>S-11</t>
        </is>
      </c>
      <c r="B12" s="15" t="inlineStr">
        <is>
          <t>PF掲載営業</t>
        </is>
      </c>
      <c r="C12" s="15" t="inlineStr">
        <is>
          <t>フリープラン申込クロージング</t>
        </is>
      </c>
      <c r="D12" s="15" t="inlineStr">
        <is>
          <t>期限4/20。未返答企業への最終フォロー</t>
        </is>
      </c>
      <c r="E12" s="15" t="inlineStr">
        <is>
          <t>右田</t>
        </is>
      </c>
      <c r="F12" s="16" t="inlineStr">
        <is>
          <t>高</t>
        </is>
      </c>
      <c r="G12" s="15" t="inlineStr">
        <is>
          <t>2026/4/14</t>
        </is>
      </c>
      <c r="H12" s="15" t="inlineStr">
        <is>
          <t>2026/4/20</t>
        </is>
      </c>
      <c r="I12" s="15" t="inlineStr">
        <is>
          <t>未着手</t>
        </is>
      </c>
      <c r="J12" s="15" t="inlineStr">
        <is>
          <t>0%</t>
        </is>
      </c>
      <c r="K12" s="15" t="inlineStr"/>
      <c r="L12" s="15" t="inlineStr"/>
    </row>
    <row r="13">
      <c r="A13" s="17" t="inlineStr">
        <is>
          <t>S-12</t>
        </is>
      </c>
      <c r="B13" s="17" t="inlineStr">
        <is>
          <t>マーケ支援営業</t>
        </is>
      </c>
      <c r="C13" s="17" t="inlineStr">
        <is>
          <t>マーケ支援 契約クロージング</t>
        </is>
      </c>
      <c r="D13" s="17" t="inlineStr">
        <is>
          <t>見積提出済み企業への最終提案</t>
        </is>
      </c>
      <c r="E13" s="17" t="inlineStr">
        <is>
          <t>営業A</t>
        </is>
      </c>
      <c r="F13" s="16" t="inlineStr">
        <is>
          <t>高</t>
        </is>
      </c>
      <c r="G13" s="17" t="inlineStr">
        <is>
          <t>2026/4/14</t>
        </is>
      </c>
      <c r="H13" s="17" t="inlineStr">
        <is>
          <t>2026/4/20</t>
        </is>
      </c>
      <c r="I13" s="17" t="inlineStr">
        <is>
          <t>未着手</t>
        </is>
      </c>
      <c r="J13" s="17" t="inlineStr">
        <is>
          <t>0%</t>
        </is>
      </c>
      <c r="K13" s="17" t="inlineStr"/>
      <c r="L13" s="17" t="inlineStr"/>
    </row>
    <row r="14">
      <c r="A14" s="15" t="inlineStr">
        <is>
          <t>S-13</t>
        </is>
      </c>
      <c r="B14" s="15" t="inlineStr">
        <is>
          <t>掲載準備</t>
        </is>
      </c>
      <c r="C14" s="15" t="inlineStr">
        <is>
          <t>掲載ページ作成</t>
        </is>
      </c>
      <c r="D14" s="15" t="inlineStr">
        <is>
          <t>申込企業の紹介ページをCMSで構築</t>
        </is>
      </c>
      <c r="E14" s="15" t="inlineStr">
        <is>
          <t>制作</t>
        </is>
      </c>
      <c r="F14" s="16" t="inlineStr">
        <is>
          <t>高</t>
        </is>
      </c>
      <c r="G14" s="15" t="inlineStr">
        <is>
          <t>2026/4/21</t>
        </is>
      </c>
      <c r="H14" s="15" t="inlineStr">
        <is>
          <t>2026/4/30</t>
        </is>
      </c>
      <c r="I14" s="15" t="inlineStr">
        <is>
          <t>未着手</t>
        </is>
      </c>
      <c r="J14" s="15" t="inlineStr">
        <is>
          <t>0%</t>
        </is>
      </c>
      <c r="K14" s="15" t="inlineStr">
        <is>
          <t>掲載ページ</t>
        </is>
      </c>
      <c r="L14" s="15" t="inlineStr"/>
    </row>
    <row r="15">
      <c r="A15" s="17" t="inlineStr">
        <is>
          <t>S-14</t>
        </is>
      </c>
      <c r="B15" s="17" t="inlineStr">
        <is>
          <t>運用</t>
        </is>
      </c>
      <c r="C15" s="17" t="inlineStr">
        <is>
          <t>初回撮影（マーケ支援）</t>
        </is>
      </c>
      <c r="D15" s="17" t="inlineStr">
        <is>
          <t>契約企業の初回ルームツアー撮影</t>
        </is>
      </c>
      <c r="E15" s="17" t="inlineStr">
        <is>
          <t>制作</t>
        </is>
      </c>
      <c r="F15" s="16" t="inlineStr">
        <is>
          <t>高</t>
        </is>
      </c>
      <c r="G15" s="17" t="inlineStr">
        <is>
          <t>2026/4/21</t>
        </is>
      </c>
      <c r="H15" s="17" t="inlineStr">
        <is>
          <t>2026/4/30</t>
        </is>
      </c>
      <c r="I15" s="17" t="inlineStr">
        <is>
          <t>未着手</t>
        </is>
      </c>
      <c r="J15" s="17" t="inlineStr">
        <is>
          <t>0%</t>
        </is>
      </c>
      <c r="K15" s="17" t="inlineStr">
        <is>
          <t>動画素材</t>
        </is>
      </c>
      <c r="L15" s="17" t="inlineStr"/>
    </row>
    <row r="16">
      <c r="A16" s="15" t="inlineStr">
        <is>
          <t>S-15</t>
        </is>
      </c>
      <c r="B16" s="15" t="inlineStr">
        <is>
          <t>掲載準備</t>
        </is>
      </c>
      <c r="C16" s="15" t="inlineStr">
        <is>
          <t>リリース最終準備</t>
        </is>
      </c>
      <c r="D16" s="15" t="inlineStr">
        <is>
          <t>プラットフォーム動作確認・告知準備</t>
        </is>
      </c>
      <c r="E16" s="15" t="inlineStr">
        <is>
          <t>全員</t>
        </is>
      </c>
      <c r="F16" s="16" t="inlineStr">
        <is>
          <t>高</t>
        </is>
      </c>
      <c r="G16" s="15" t="inlineStr">
        <is>
          <t>2026/4/28</t>
        </is>
      </c>
      <c r="H16" s="15" t="inlineStr">
        <is>
          <t>2026/4/30</t>
        </is>
      </c>
      <c r="I16" s="15" t="inlineStr">
        <is>
          <t>未着手</t>
        </is>
      </c>
      <c r="J16" s="15" t="inlineStr">
        <is>
          <t>0%</t>
        </is>
      </c>
      <c r="K16" s="15" t="inlineStr"/>
      <c r="L16" s="15" t="inlineStr"/>
    </row>
    <row r="17">
      <c r="A17" s="17" t="inlineStr">
        <is>
          <t>S-16</t>
        </is>
      </c>
      <c r="B17" s="17" t="inlineStr">
        <is>
          <t>レポート</t>
        </is>
      </c>
      <c r="C17" s="17" t="inlineStr">
        <is>
          <t>月次レポート作成（5月分）</t>
        </is>
      </c>
      <c r="D17" s="17" t="inlineStr">
        <is>
          <t>掲載企業へ5月の閲覧データを報告</t>
        </is>
      </c>
      <c r="E17" s="17" t="inlineStr">
        <is>
          <t>右田</t>
        </is>
      </c>
      <c r="F17" s="17" t="inlineStr">
        <is>
          <t>中</t>
        </is>
      </c>
      <c r="G17" s="17" t="inlineStr">
        <is>
          <t>2026/6/1</t>
        </is>
      </c>
      <c r="H17" s="17" t="inlineStr">
        <is>
          <t>2026/6/5</t>
        </is>
      </c>
      <c r="I17" s="17" t="inlineStr">
        <is>
          <t>未着手</t>
        </is>
      </c>
      <c r="J17" s="17" t="inlineStr">
        <is>
          <t>0%</t>
        </is>
      </c>
      <c r="K17" s="17" t="inlineStr">
        <is>
          <t>レポート</t>
        </is>
      </c>
      <c r="L17" s="17" t="inlineStr"/>
    </row>
    <row r="18">
      <c r="A18" s="15" t="inlineStr">
        <is>
          <t>S-17</t>
        </is>
      </c>
      <c r="B18" s="15" t="inlineStr">
        <is>
          <t>レポート</t>
        </is>
      </c>
      <c r="C18" s="15" t="inlineStr">
        <is>
          <t>月次レポート作成（6月分）</t>
        </is>
      </c>
      <c r="D18" s="15" t="inlineStr">
        <is>
          <t>掲載企業へ6月の閲覧データを報告</t>
        </is>
      </c>
      <c r="E18" s="15" t="inlineStr">
        <is>
          <t>右田</t>
        </is>
      </c>
      <c r="F18" s="15" t="inlineStr">
        <is>
          <t>中</t>
        </is>
      </c>
      <c r="G18" s="15" t="inlineStr">
        <is>
          <t>2026/7/1</t>
        </is>
      </c>
      <c r="H18" s="15" t="inlineStr">
        <is>
          <t>2026/7/5</t>
        </is>
      </c>
      <c r="I18" s="15" t="inlineStr">
        <is>
          <t>未着手</t>
        </is>
      </c>
      <c r="J18" s="15" t="inlineStr">
        <is>
          <t>0%</t>
        </is>
      </c>
      <c r="K18" s="15" t="inlineStr">
        <is>
          <t>レポート</t>
        </is>
      </c>
      <c r="L18" s="15" t="inlineStr"/>
    </row>
    <row r="19">
      <c r="A19" s="17" t="inlineStr">
        <is>
          <t>S-18</t>
        </is>
      </c>
      <c r="B19" s="17" t="inlineStr">
        <is>
          <t>レポート</t>
        </is>
      </c>
      <c r="C19" s="17" t="inlineStr">
        <is>
          <t>3ヶ月総合レポート作成</t>
        </is>
      </c>
      <c r="D19" s="17" t="inlineStr">
        <is>
          <t>各社の3ヶ月実績を総合レポートにまとめる</t>
        </is>
      </c>
      <c r="E19" s="17" t="inlineStr">
        <is>
          <t>右田</t>
        </is>
      </c>
      <c r="F19" s="16" t="inlineStr">
        <is>
          <t>高</t>
        </is>
      </c>
      <c r="G19" s="17" t="inlineStr">
        <is>
          <t>2026/7/15</t>
        </is>
      </c>
      <c r="H19" s="17" t="inlineStr">
        <is>
          <t>2026/7/20</t>
        </is>
      </c>
      <c r="I19" s="17" t="inlineStr">
        <is>
          <t>未着手</t>
        </is>
      </c>
      <c r="J19" s="17" t="inlineStr">
        <is>
          <t>0%</t>
        </is>
      </c>
      <c r="K19" s="17" t="inlineStr">
        <is>
          <t>総合レポート</t>
        </is>
      </c>
      <c r="L19" s="17" t="inlineStr"/>
    </row>
    <row r="20">
      <c r="A20" s="15" t="inlineStr">
        <is>
          <t>S-19</t>
        </is>
      </c>
      <c r="B20" s="15" t="inlineStr">
        <is>
          <t>PF掲載営業</t>
        </is>
      </c>
      <c r="C20" s="15" t="inlineStr">
        <is>
          <t>有料化提案準備</t>
        </is>
      </c>
      <c r="D20" s="15" t="inlineStr">
        <is>
          <t>各社に最適なプランを選定・提案資料準備</t>
        </is>
      </c>
      <c r="E20" s="15" t="inlineStr">
        <is>
          <t>右田</t>
        </is>
      </c>
      <c r="F20" s="16" t="inlineStr">
        <is>
          <t>高</t>
        </is>
      </c>
      <c r="G20" s="15" t="inlineStr">
        <is>
          <t>2026/7/15</t>
        </is>
      </c>
      <c r="H20" s="15" t="inlineStr">
        <is>
          <t>2026/7/25</t>
        </is>
      </c>
      <c r="I20" s="15" t="inlineStr">
        <is>
          <t>未着手</t>
        </is>
      </c>
      <c r="J20" s="15" t="inlineStr">
        <is>
          <t>0%</t>
        </is>
      </c>
      <c r="K20" s="15" t="inlineStr">
        <is>
          <t>提案資料</t>
        </is>
      </c>
      <c r="L20" s="15" t="inlineStr"/>
    </row>
    <row r="21">
      <c r="A21" s="17" t="inlineStr">
        <is>
          <t>S-20</t>
        </is>
      </c>
      <c r="B21" s="17" t="inlineStr">
        <is>
          <t>PF掲載営業</t>
        </is>
      </c>
      <c r="C21" s="17" t="inlineStr">
        <is>
          <t>有料化提案訪問</t>
        </is>
      </c>
      <c r="D21" s="17" t="inlineStr">
        <is>
          <t>全掲載企業を訪問し有料プランを提案</t>
        </is>
      </c>
      <c r="E21" s="17" t="inlineStr">
        <is>
          <t>右田</t>
        </is>
      </c>
      <c r="F21" s="16" t="inlineStr">
        <is>
          <t>高</t>
        </is>
      </c>
      <c r="G21" s="17" t="inlineStr">
        <is>
          <t>2026/7/20</t>
        </is>
      </c>
      <c r="H21" s="17" t="inlineStr">
        <is>
          <t>2026/7/31</t>
        </is>
      </c>
      <c r="I21" s="17" t="inlineStr">
        <is>
          <t>未着手</t>
        </is>
      </c>
      <c r="J21" s="17" t="inlineStr">
        <is>
          <t>0%</t>
        </is>
      </c>
      <c r="K21" s="17" t="inlineStr"/>
      <c r="L21" s="17" t="inlineStr"/>
    </row>
  </sheetData>
  <autoFilter ref="A1:L100"/>
  <dataValidations count="4">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showDropDown="0" showInputMessage="0" showErrorMessage="0" allowBlank="1" errorTitle="無効な値" error="選択肢から選んでください" type="list">
      <formula1>"営業準備,PF掲載営業,マーケ支援営業,掲載準備,運用,レポート,管理"</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showDropDown="0" showInputMessage="0" showErrorMessage="0" allowBlank="1" errorTitle="無効な値" error="選択肢から選んでください" type="list">
      <formula1>"右田,営業A,営業B,制作,全員"</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showDropDown="0" showInputMessage="0" showErrorMessage="0" allowBlank="1" errorTitle="無効な値" error="選択肢から選んでください" type="list">
      <formula1>"高,中,低"</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showDropDown="0" showInputMessage="0" showErrorMessage="0" allowBlank="1" errorTitle="無効な値" error="選択肢から選んでください" type="list">
      <formula1>"未着手,進行中,確認中,完了,保留"</formula1>
    </dataValidation>
  </dataValidations>
  <pageMargins left="0.75" right="0.75" top="1" bottom="1" header="0.5" footer="0.5"/>
</worksheet>
</file>

<file path=xl/worksheets/sheet8.xml><?xml version="1.0" encoding="utf-8"?>
<worksheet xmlns="http://schemas.openxmlformats.org/spreadsheetml/2006/main">
  <sheetPr>
    <tabColor rgb="00C0392B"/>
    <outlinePr summaryBelow="1" summaryRight="1"/>
    <pageSetUpPr/>
  </sheetPr>
  <dimension ref="A1:N2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月次KPI管理</t>
        </is>
      </c>
    </row>
    <row r="3">
      <c r="A3" s="14" t="inlineStr">
        <is>
          <t>月</t>
        </is>
      </c>
      <c r="B3" s="14" t="inlineStr">
        <is>
          <t>PF掲載社数</t>
        </is>
      </c>
      <c r="C3" s="14" t="inlineStr">
        <is>
          <t>マーケ契約数</t>
        </is>
      </c>
      <c r="D3" s="14" t="inlineStr">
        <is>
          <t>テレアポ数</t>
        </is>
      </c>
      <c r="E3" s="14" t="inlineStr">
        <is>
          <t>商談数</t>
        </is>
      </c>
      <c r="F3" s="14" t="inlineStr">
        <is>
          <t>新規契約</t>
        </is>
      </c>
      <c r="G3" s="14" t="inlineStr">
        <is>
          <t>月間PV</t>
        </is>
      </c>
      <c r="H3" s="14" t="inlineStr">
        <is>
          <t>リード数</t>
        </is>
      </c>
      <c r="I3" s="14" t="inlineStr">
        <is>
          <t>PF売上</t>
        </is>
      </c>
      <c r="J3" s="14" t="inlineStr">
        <is>
          <t>マーケ売上</t>
        </is>
      </c>
      <c r="K3" s="14" t="inlineStr">
        <is>
          <t>合計売上</t>
        </is>
      </c>
      <c r="L3" s="14" t="inlineStr">
        <is>
          <t>累計売上</t>
        </is>
      </c>
      <c r="M3" s="14" t="inlineStr">
        <is>
          <t>解約数</t>
        </is>
      </c>
      <c r="N3" s="14" t="inlineStr">
        <is>
          <t>解約率</t>
        </is>
      </c>
    </row>
    <row r="4">
      <c r="A4" s="23" t="inlineStr"/>
      <c r="B4" s="23" t="n">
        <v>20</v>
      </c>
      <c r="C4" s="23" t="n">
        <v>3</v>
      </c>
      <c r="D4" s="23" t="n">
        <v>200</v>
      </c>
      <c r="E4" s="23" t="n">
        <v>8</v>
      </c>
      <c r="F4" s="23" t="n">
        <v>5</v>
      </c>
      <c r="G4" s="23" t="n">
        <v>5000</v>
      </c>
      <c r="H4" s="23" t="n">
        <v>10</v>
      </c>
      <c r="I4" s="23" t="n">
        <v>0</v>
      </c>
      <c r="J4" s="23" t="n">
        <v>240000</v>
      </c>
      <c r="K4" s="23" t="n">
        <v>240000</v>
      </c>
      <c r="L4" s="23" t="n">
        <v>240000</v>
      </c>
      <c r="M4" s="23" t="n">
        <v>0</v>
      </c>
      <c r="N4" s="23" t="inlineStr">
        <is>
          <t>0%</t>
        </is>
      </c>
    </row>
    <row r="5">
      <c r="A5" s="15" t="inlineStr">
        <is>
          <t>4月</t>
        </is>
      </c>
      <c r="B5" s="15" t="n"/>
      <c r="C5" s="15" t="n"/>
      <c r="D5" s="15" t="n"/>
      <c r="E5" s="15" t="n"/>
      <c r="F5" s="15" t="n"/>
      <c r="G5" s="15" t="n"/>
      <c r="H5" s="15" t="n"/>
      <c r="I5" s="20" t="n"/>
      <c r="J5" s="20" t="n"/>
      <c r="K5" s="20" t="n"/>
      <c r="L5" s="20" t="n"/>
      <c r="M5" s="20" t="n"/>
      <c r="N5" s="20" t="n"/>
    </row>
    <row r="6">
      <c r="A6" s="17" t="inlineStr">
        <is>
          <t>5月</t>
        </is>
      </c>
      <c r="B6" s="17" t="n"/>
      <c r="C6" s="17" t="n"/>
      <c r="D6" s="17" t="n"/>
      <c r="E6" s="17" t="n"/>
      <c r="F6" s="17" t="n"/>
      <c r="G6" s="17" t="n"/>
      <c r="H6" s="17" t="n"/>
      <c r="I6" s="21" t="n"/>
      <c r="J6" s="21" t="n"/>
      <c r="K6" s="21" t="n"/>
      <c r="L6" s="21" t="n"/>
      <c r="M6" s="21" t="n"/>
      <c r="N6" s="21" t="n"/>
    </row>
    <row r="7">
      <c r="A7" s="15" t="inlineStr">
        <is>
          <t>6月</t>
        </is>
      </c>
      <c r="B7" s="15" t="n"/>
      <c r="C7" s="15" t="n"/>
      <c r="D7" s="15" t="n"/>
      <c r="E7" s="15" t="n"/>
      <c r="F7" s="15" t="n"/>
      <c r="G7" s="15" t="n"/>
      <c r="H7" s="15" t="n"/>
      <c r="I7" s="20" t="n"/>
      <c r="J7" s="20" t="n"/>
      <c r="K7" s="20" t="n"/>
      <c r="L7" s="20" t="n"/>
      <c r="M7" s="20" t="n"/>
      <c r="N7" s="20" t="n"/>
    </row>
    <row r="8">
      <c r="A8" s="17" t="inlineStr">
        <is>
          <t>7月</t>
        </is>
      </c>
      <c r="B8" s="17" t="n"/>
      <c r="C8" s="17" t="n"/>
      <c r="D8" s="17" t="n"/>
      <c r="E8" s="17" t="n"/>
      <c r="F8" s="17" t="n"/>
      <c r="G8" s="17" t="n"/>
      <c r="H8" s="17" t="n"/>
      <c r="I8" s="21" t="n"/>
      <c r="J8" s="21" t="n"/>
      <c r="K8" s="21" t="n"/>
      <c r="L8" s="21" t="n"/>
      <c r="M8" s="21" t="n"/>
      <c r="N8" s="21" t="n"/>
    </row>
    <row r="9">
      <c r="A9" s="15" t="inlineStr">
        <is>
          <t>8月</t>
        </is>
      </c>
      <c r="B9" s="15" t="n"/>
      <c r="C9" s="15" t="n"/>
      <c r="D9" s="15" t="n"/>
      <c r="E9" s="15" t="n"/>
      <c r="F9" s="15" t="n"/>
      <c r="G9" s="15" t="n"/>
      <c r="H9" s="15" t="n"/>
      <c r="I9" s="20" t="n"/>
      <c r="J9" s="20" t="n"/>
      <c r="K9" s="20" t="n"/>
      <c r="L9" s="20" t="n"/>
      <c r="M9" s="20" t="n"/>
      <c r="N9" s="20" t="n"/>
    </row>
    <row r="10">
      <c r="A10" s="17" t="inlineStr">
        <is>
          <t>9月</t>
        </is>
      </c>
      <c r="B10" s="17" t="n"/>
      <c r="C10" s="17" t="n"/>
      <c r="D10" s="17" t="n"/>
      <c r="E10" s="17" t="n"/>
      <c r="F10" s="17" t="n"/>
      <c r="G10" s="17" t="n"/>
      <c r="H10" s="17" t="n"/>
      <c r="I10" s="21" t="n"/>
      <c r="J10" s="21" t="n"/>
      <c r="K10" s="21" t="n"/>
      <c r="L10" s="21" t="n"/>
      <c r="M10" s="21" t="n"/>
      <c r="N10" s="21" t="n"/>
    </row>
    <row r="11">
      <c r="A11" s="15" t="inlineStr">
        <is>
          <t>10月</t>
        </is>
      </c>
      <c r="B11" s="15" t="n"/>
      <c r="C11" s="15" t="n"/>
      <c r="D11" s="15" t="n"/>
      <c r="E11" s="15" t="n"/>
      <c r="F11" s="15" t="n"/>
      <c r="G11" s="15" t="n"/>
      <c r="H11" s="15" t="n"/>
      <c r="I11" s="20" t="n"/>
      <c r="J11" s="20" t="n"/>
      <c r="K11" s="20" t="n"/>
      <c r="L11" s="20" t="n"/>
      <c r="M11" s="20" t="n"/>
      <c r="N11" s="20" t="n"/>
    </row>
    <row r="12">
      <c r="A12" s="17" t="inlineStr">
        <is>
          <t>11月</t>
        </is>
      </c>
      <c r="B12" s="17" t="n"/>
      <c r="C12" s="17" t="n"/>
      <c r="D12" s="17" t="n"/>
      <c r="E12" s="17" t="n"/>
      <c r="F12" s="17" t="n"/>
      <c r="G12" s="17" t="n"/>
      <c r="H12" s="17" t="n"/>
      <c r="I12" s="21" t="n"/>
      <c r="J12" s="21" t="n"/>
      <c r="K12" s="21" t="n"/>
      <c r="L12" s="21" t="n"/>
      <c r="M12" s="21" t="n"/>
      <c r="N12" s="21" t="n"/>
    </row>
    <row r="13">
      <c r="A13" s="15" t="inlineStr">
        <is>
          <t>12月</t>
        </is>
      </c>
      <c r="B13" s="15" t="n"/>
      <c r="C13" s="15" t="n"/>
      <c r="D13" s="15" t="n"/>
      <c r="E13" s="15" t="n"/>
      <c r="F13" s="15" t="n"/>
      <c r="G13" s="15" t="n"/>
      <c r="H13" s="15" t="n"/>
      <c r="I13" s="20" t="n"/>
      <c r="J13" s="20" t="n"/>
      <c r="K13" s="20" t="n"/>
      <c r="L13" s="20" t="n"/>
      <c r="M13" s="20" t="n"/>
      <c r="N13" s="20" t="n"/>
    </row>
    <row r="16">
      <c r="A16" s="8" t="inlineStr">
        <is>
          <t>週次KPI</t>
        </is>
      </c>
    </row>
    <row r="17">
      <c r="A17" s="14" t="inlineStr">
        <is>
          <t>週</t>
        </is>
      </c>
      <c r="B17" s="14" t="inlineStr">
        <is>
          <t>開始日</t>
        </is>
      </c>
      <c r="C17" s="14" t="inlineStr">
        <is>
          <t>終了日</t>
        </is>
      </c>
      <c r="D17" s="14" t="inlineStr">
        <is>
          <t>コール数（鹿児島）</t>
        </is>
      </c>
      <c r="E17" s="14" t="inlineStr">
        <is>
          <t>コール数（全国）</t>
        </is>
      </c>
      <c r="F17" s="14" t="inlineStr">
        <is>
          <t>受付突破</t>
        </is>
      </c>
      <c r="G17" s="14" t="inlineStr">
        <is>
          <t>資料送付</t>
        </is>
      </c>
      <c r="H17" s="14" t="inlineStr">
        <is>
          <t>商談</t>
        </is>
      </c>
      <c r="I17" s="14" t="inlineStr">
        <is>
          <t>申込/契約</t>
        </is>
      </c>
      <c r="J17" s="14" t="inlineStr">
        <is>
          <t>担当</t>
        </is>
      </c>
      <c r="K17" s="14" t="inlineStr">
        <is>
          <t>メモ</t>
        </is>
      </c>
    </row>
    <row r="18">
      <c r="A18" s="15" t="inlineStr">
        <is>
          <t>Week 1</t>
        </is>
      </c>
      <c r="B18" s="15" t="n"/>
      <c r="C18" s="15" t="n"/>
      <c r="D18" s="15" t="n"/>
      <c r="E18" s="15" t="n"/>
      <c r="F18" s="15" t="n"/>
      <c r="G18" s="15" t="n"/>
      <c r="H18" s="15" t="n"/>
      <c r="I18" s="15" t="n"/>
      <c r="J18" s="15" t="n"/>
      <c r="K18" s="15" t="n"/>
    </row>
    <row r="19">
      <c r="A19" s="17" t="inlineStr">
        <is>
          <t>Week 2</t>
        </is>
      </c>
      <c r="B19" s="17" t="n"/>
      <c r="C19" s="17" t="n"/>
      <c r="D19" s="17" t="n"/>
      <c r="E19" s="17" t="n"/>
      <c r="F19" s="17" t="n"/>
      <c r="G19" s="17" t="n"/>
      <c r="H19" s="17" t="n"/>
      <c r="I19" s="17" t="n"/>
      <c r="J19" s="17" t="n"/>
      <c r="K19" s="17" t="n"/>
    </row>
    <row r="20">
      <c r="A20" s="15" t="inlineStr">
        <is>
          <t>Week 3</t>
        </is>
      </c>
      <c r="B20" s="15" t="n"/>
      <c r="C20" s="15" t="n"/>
      <c r="D20" s="15" t="n"/>
      <c r="E20" s="15" t="n"/>
      <c r="F20" s="15" t="n"/>
      <c r="G20" s="15" t="n"/>
      <c r="H20" s="15" t="n"/>
      <c r="I20" s="15" t="n"/>
      <c r="J20" s="15" t="n"/>
      <c r="K20" s="15" t="n"/>
    </row>
    <row r="21">
      <c r="A21" s="17" t="inlineStr">
        <is>
          <t>Week 4</t>
        </is>
      </c>
      <c r="B21" s="17" t="n"/>
      <c r="C21" s="17" t="n"/>
      <c r="D21" s="17" t="n"/>
      <c r="E21" s="17" t="n"/>
      <c r="F21" s="17" t="n"/>
      <c r="G21" s="17" t="n"/>
      <c r="H21" s="17" t="n"/>
      <c r="I21" s="17" t="n"/>
      <c r="J21" s="17" t="n"/>
      <c r="K21" s="17" t="n"/>
    </row>
    <row r="22">
      <c r="A22" s="15" t="inlineStr">
        <is>
          <t>Week 5</t>
        </is>
      </c>
      <c r="B22" s="15" t="n"/>
      <c r="C22" s="15" t="n"/>
      <c r="D22" s="15" t="n"/>
      <c r="E22" s="15" t="n"/>
      <c r="F22" s="15" t="n"/>
      <c r="G22" s="15" t="n"/>
      <c r="H22" s="15" t="n"/>
      <c r="I22" s="15" t="n"/>
      <c r="J22" s="15" t="n"/>
      <c r="K22" s="15" t="n"/>
    </row>
    <row r="23">
      <c r="A23" s="17" t="inlineStr">
        <is>
          <t>Week 6</t>
        </is>
      </c>
      <c r="B23" s="17" t="n"/>
      <c r="C23" s="17" t="n"/>
      <c r="D23" s="17" t="n"/>
      <c r="E23" s="17" t="n"/>
      <c r="F23" s="17" t="n"/>
      <c r="G23" s="17" t="n"/>
      <c r="H23" s="17" t="n"/>
      <c r="I23" s="17" t="n"/>
      <c r="J23" s="17" t="n"/>
      <c r="K23" s="17" t="n"/>
    </row>
    <row r="24">
      <c r="A24" s="15" t="inlineStr">
        <is>
          <t>Week 7</t>
        </is>
      </c>
      <c r="B24" s="15" t="n"/>
      <c r="C24" s="15" t="n"/>
      <c r="D24" s="15" t="n"/>
      <c r="E24" s="15" t="n"/>
      <c r="F24" s="15" t="n"/>
      <c r="G24" s="15" t="n"/>
      <c r="H24" s="15" t="n"/>
      <c r="I24" s="15" t="n"/>
      <c r="J24" s="15" t="n"/>
      <c r="K24" s="15" t="n"/>
    </row>
    <row r="25">
      <c r="A25" s="17" t="inlineStr">
        <is>
          <t>Week 8</t>
        </is>
      </c>
      <c r="B25" s="17" t="n"/>
      <c r="C25" s="17" t="n"/>
      <c r="D25" s="17" t="n"/>
      <c r="E25" s="17" t="n"/>
      <c r="F25" s="17" t="n"/>
      <c r="G25" s="17" t="n"/>
      <c r="H25" s="17" t="n"/>
      <c r="I25" s="17" t="n"/>
      <c r="J25" s="17" t="n"/>
      <c r="K25" s="17" t="n"/>
    </row>
    <row r="26">
      <c r="A26" s="15" t="inlineStr">
        <is>
          <t>Week 9</t>
        </is>
      </c>
      <c r="B26" s="15" t="n"/>
      <c r="C26" s="15" t="n"/>
      <c r="D26" s="15" t="n"/>
      <c r="E26" s="15" t="n"/>
      <c r="F26" s="15" t="n"/>
      <c r="G26" s="15" t="n"/>
      <c r="H26" s="15" t="n"/>
      <c r="I26" s="15" t="n"/>
      <c r="J26" s="15" t="n"/>
      <c r="K26" s="15" t="n"/>
    </row>
    <row r="27">
      <c r="A27" s="17" t="inlineStr">
        <is>
          <t>Week 10</t>
        </is>
      </c>
      <c r="B27" s="17" t="n"/>
      <c r="C27" s="17" t="n"/>
      <c r="D27" s="17" t="n"/>
      <c r="E27" s="17" t="n"/>
      <c r="F27" s="17" t="n"/>
      <c r="G27" s="17" t="n"/>
      <c r="H27" s="17" t="n"/>
      <c r="I27" s="17" t="n"/>
      <c r="J27" s="17" t="n"/>
      <c r="K27" s="17" t="n"/>
    </row>
    <row r="28">
      <c r="A28" s="15" t="inlineStr">
        <is>
          <t>Week 11</t>
        </is>
      </c>
      <c r="B28" s="15" t="n"/>
      <c r="C28" s="15" t="n"/>
      <c r="D28" s="15" t="n"/>
      <c r="E28" s="15" t="n"/>
      <c r="F28" s="15" t="n"/>
      <c r="G28" s="15" t="n"/>
      <c r="H28" s="15" t="n"/>
      <c r="I28" s="15" t="n"/>
      <c r="J28" s="15" t="n"/>
      <c r="K28" s="15" t="n"/>
    </row>
    <row r="29">
      <c r="A29" s="17" t="inlineStr">
        <is>
          <t>Week 12</t>
        </is>
      </c>
      <c r="B29" s="17" t="n"/>
      <c r="C29" s="17" t="n"/>
      <c r="D29" s="17" t="n"/>
      <c r="E29" s="17" t="n"/>
      <c r="F29" s="17" t="n"/>
      <c r="G29" s="17" t="n"/>
      <c r="H29" s="17" t="n"/>
      <c r="I29" s="17" t="n"/>
      <c r="J29" s="17" t="n"/>
      <c r="K29" s="17" t="n"/>
    </row>
  </sheetData>
  <mergeCells count="2">
    <mergeCell ref="A16:N16"/>
    <mergeCell ref="A1:N1"/>
  </mergeCells>
  <pageMargins left="0.75" right="0.75" top="1" bottom="1" header="0.5" footer="0.5"/>
</worksheet>
</file>

<file path=xl/worksheets/sheet9.xml><?xml version="1.0" encoding="utf-8"?>
<worksheet xmlns="http://schemas.openxmlformats.org/spreadsheetml/2006/main">
  <sheetPr>
    <tabColor rgb="00F39C12"/>
    <outlinePr summaryBelow="1" summaryRight="1"/>
    <pageSetUpPr/>
  </sheetPr>
  <dimension ref="A1:I39"/>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収益シミュレーション（3シナリオ）</t>
        </is>
      </c>
    </row>
    <row r="3">
      <c r="A3" s="24" t="inlineStr">
        <is>
          <t>保守的シナリオ</t>
        </is>
      </c>
    </row>
    <row r="4">
      <c r="A4" s="14" t="inlineStr">
        <is>
          <t>月</t>
        </is>
      </c>
      <c r="B4" s="14" t="inlineStr">
        <is>
          <t>PF掲載売上</t>
        </is>
      </c>
      <c r="C4" s="14" t="inlineStr">
        <is>
          <t>マーケ支援売上</t>
        </is>
      </c>
      <c r="D4" s="14" t="inlineStr">
        <is>
          <t>月間合計</t>
        </is>
      </c>
      <c r="E4" s="14" t="inlineStr">
        <is>
          <t>累計</t>
        </is>
      </c>
    </row>
    <row r="5">
      <c r="A5" s="15" t="inlineStr">
        <is>
          <t>5月</t>
        </is>
      </c>
      <c r="B5" s="20" t="n">
        <v>0</v>
      </c>
      <c r="C5" s="20" t="n">
        <v>160000</v>
      </c>
      <c r="D5" s="20">
        <f>B5+C5</f>
        <v/>
      </c>
      <c r="E5" s="20">
        <f>D5</f>
        <v/>
      </c>
    </row>
    <row r="6">
      <c r="A6" s="17" t="inlineStr">
        <is>
          <t>6月</t>
        </is>
      </c>
      <c r="B6" s="21" t="n">
        <v>0</v>
      </c>
      <c r="C6" s="21" t="n">
        <v>240000</v>
      </c>
      <c r="D6" s="21">
        <f>B6+C6</f>
        <v/>
      </c>
      <c r="E6" s="21">
        <f>E5+D6</f>
        <v/>
      </c>
    </row>
    <row r="7">
      <c r="A7" s="15" t="inlineStr">
        <is>
          <t>7月</t>
        </is>
      </c>
      <c r="B7" s="20" t="n">
        <v>0</v>
      </c>
      <c r="C7" s="20" t="n">
        <v>320000</v>
      </c>
      <c r="D7" s="20">
        <f>B7+C7</f>
        <v/>
      </c>
      <c r="E7" s="20">
        <f>E6+D7</f>
        <v/>
      </c>
    </row>
    <row r="8">
      <c r="A8" s="17" t="inlineStr">
        <is>
          <t>8月</t>
        </is>
      </c>
      <c r="B8" s="21" t="n">
        <v>80000</v>
      </c>
      <c r="C8" s="21" t="n">
        <v>400000</v>
      </c>
      <c r="D8" s="21">
        <f>B8+C8</f>
        <v/>
      </c>
      <c r="E8" s="21">
        <f>E7+D8</f>
        <v/>
      </c>
    </row>
    <row r="9">
      <c r="A9" s="15" t="inlineStr">
        <is>
          <t>9月</t>
        </is>
      </c>
      <c r="B9" s="20" t="n">
        <v>100000</v>
      </c>
      <c r="C9" s="20" t="n">
        <v>440000</v>
      </c>
      <c r="D9" s="20">
        <f>B9+C9</f>
        <v/>
      </c>
      <c r="E9" s="20">
        <f>E8+D9</f>
        <v/>
      </c>
    </row>
    <row r="10">
      <c r="A10" s="17" t="inlineStr">
        <is>
          <t>10月</t>
        </is>
      </c>
      <c r="B10" s="21" t="n">
        <v>120000</v>
      </c>
      <c r="C10" s="21" t="n">
        <v>480000</v>
      </c>
      <c r="D10" s="21">
        <f>B10+C10</f>
        <v/>
      </c>
      <c r="E10" s="21">
        <f>E9+D10</f>
        <v/>
      </c>
    </row>
    <row r="11">
      <c r="A11" s="15" t="inlineStr">
        <is>
          <t>11月</t>
        </is>
      </c>
      <c r="B11" s="20" t="n">
        <v>140000</v>
      </c>
      <c r="C11" s="20" t="n">
        <v>520000</v>
      </c>
      <c r="D11" s="20">
        <f>B11+C11</f>
        <v/>
      </c>
      <c r="E11" s="20">
        <f>E10+D11</f>
        <v/>
      </c>
    </row>
    <row r="12">
      <c r="A12" s="17" t="inlineStr">
        <is>
          <t>12月</t>
        </is>
      </c>
      <c r="B12" s="21" t="n">
        <v>160000</v>
      </c>
      <c r="C12" s="21" t="n">
        <v>560000</v>
      </c>
      <c r="D12" s="21">
        <f>B12+C12</f>
        <v/>
      </c>
      <c r="E12" s="21">
        <f>E11+D12</f>
        <v/>
      </c>
    </row>
    <row r="13">
      <c r="A13" s="19" t="inlineStr">
        <is>
          <t>合計</t>
        </is>
      </c>
      <c r="B13" s="25">
        <f>SUM(B5:B12)</f>
        <v/>
      </c>
      <c r="C13" s="25">
        <f>SUM(C5:C12)</f>
        <v/>
      </c>
      <c r="D13" s="25">
        <f>B13+C13</f>
        <v/>
      </c>
    </row>
    <row r="16">
      <c r="A16" s="26" t="inlineStr">
        <is>
          <t>標準シナリオ</t>
        </is>
      </c>
    </row>
    <row r="17">
      <c r="A17" s="14" t="inlineStr">
        <is>
          <t>月</t>
        </is>
      </c>
      <c r="B17" s="14" t="inlineStr">
        <is>
          <t>PF掲載売上</t>
        </is>
      </c>
      <c r="C17" s="14" t="inlineStr">
        <is>
          <t>マーケ支援売上</t>
        </is>
      </c>
      <c r="D17" s="14" t="inlineStr">
        <is>
          <t>月間合計</t>
        </is>
      </c>
      <c r="E17" s="14" t="inlineStr">
        <is>
          <t>累計</t>
        </is>
      </c>
    </row>
    <row r="18">
      <c r="A18" s="15" t="inlineStr">
        <is>
          <t>5月</t>
        </is>
      </c>
      <c r="B18" s="20" t="n">
        <v>0</v>
      </c>
      <c r="C18" s="20" t="n">
        <v>240000</v>
      </c>
      <c r="D18" s="20">
        <f>B18+C18</f>
        <v/>
      </c>
      <c r="E18" s="20">
        <f>D18</f>
        <v/>
      </c>
    </row>
    <row r="19">
      <c r="A19" s="17" t="inlineStr">
        <is>
          <t>6月</t>
        </is>
      </c>
      <c r="B19" s="21" t="n">
        <v>0</v>
      </c>
      <c r="C19" s="21" t="n">
        <v>360000</v>
      </c>
      <c r="D19" s="21">
        <f>B19+C19</f>
        <v/>
      </c>
      <c r="E19" s="21">
        <f>E18+D19</f>
        <v/>
      </c>
    </row>
    <row r="20">
      <c r="A20" s="15" t="inlineStr">
        <is>
          <t>7月</t>
        </is>
      </c>
      <c r="B20" s="20" t="n">
        <v>0</v>
      </c>
      <c r="C20" s="20" t="n">
        <v>480000</v>
      </c>
      <c r="D20" s="20">
        <f>B20+C20</f>
        <v/>
      </c>
      <c r="E20" s="20">
        <f>E19+D20</f>
        <v/>
      </c>
    </row>
    <row r="21">
      <c r="A21" s="17" t="inlineStr">
        <is>
          <t>8月</t>
        </is>
      </c>
      <c r="B21" s="21" t="n">
        <v>150000</v>
      </c>
      <c r="C21" s="21" t="n">
        <v>560000</v>
      </c>
      <c r="D21" s="21">
        <f>B21+C21</f>
        <v/>
      </c>
      <c r="E21" s="21">
        <f>E20+D21</f>
        <v/>
      </c>
    </row>
    <row r="22">
      <c r="A22" s="15" t="inlineStr">
        <is>
          <t>9月</t>
        </is>
      </c>
      <c r="B22" s="20" t="n">
        <v>200000</v>
      </c>
      <c r="C22" s="20" t="n">
        <v>640000</v>
      </c>
      <c r="D22" s="20">
        <f>B22+C22</f>
        <v/>
      </c>
      <c r="E22" s="20">
        <f>E21+D22</f>
        <v/>
      </c>
    </row>
    <row r="23">
      <c r="A23" s="17" t="inlineStr">
        <is>
          <t>10月</t>
        </is>
      </c>
      <c r="B23" s="21" t="n">
        <v>250000</v>
      </c>
      <c r="C23" s="21" t="n">
        <v>720000</v>
      </c>
      <c r="D23" s="21">
        <f>B23+C23</f>
        <v/>
      </c>
      <c r="E23" s="21">
        <f>E22+D23</f>
        <v/>
      </c>
    </row>
    <row r="24">
      <c r="A24" s="15" t="inlineStr">
        <is>
          <t>11月</t>
        </is>
      </c>
      <c r="B24" s="20" t="n">
        <v>280000</v>
      </c>
      <c r="C24" s="20" t="n">
        <v>800000</v>
      </c>
      <c r="D24" s="20">
        <f>B24+C24</f>
        <v/>
      </c>
      <c r="E24" s="20">
        <f>E23+D24</f>
        <v/>
      </c>
    </row>
    <row r="25">
      <c r="A25" s="17" t="inlineStr">
        <is>
          <t>12月</t>
        </is>
      </c>
      <c r="B25" s="21" t="n">
        <v>320000</v>
      </c>
      <c r="C25" s="21" t="n">
        <v>880000</v>
      </c>
      <c r="D25" s="21">
        <f>B25+C25</f>
        <v/>
      </c>
      <c r="E25" s="21">
        <f>E24+D25</f>
        <v/>
      </c>
    </row>
    <row r="26">
      <c r="A26" s="19" t="inlineStr">
        <is>
          <t>合計</t>
        </is>
      </c>
      <c r="B26" s="25">
        <f>SUM(B18:B25)</f>
        <v/>
      </c>
      <c r="C26" s="25">
        <f>SUM(C18:C25)</f>
        <v/>
      </c>
      <c r="D26" s="25">
        <f>B26+C26</f>
        <v/>
      </c>
    </row>
    <row r="29">
      <c r="A29" s="27" t="inlineStr">
        <is>
          <t>楽観的シナリオ</t>
        </is>
      </c>
    </row>
    <row r="30">
      <c r="A30" s="14" t="inlineStr">
        <is>
          <t>月</t>
        </is>
      </c>
      <c r="B30" s="14" t="inlineStr">
        <is>
          <t>PF掲載売上</t>
        </is>
      </c>
      <c r="C30" s="14" t="inlineStr">
        <is>
          <t>マーケ支援売上</t>
        </is>
      </c>
      <c r="D30" s="14" t="inlineStr">
        <is>
          <t>月間合計</t>
        </is>
      </c>
      <c r="E30" s="14" t="inlineStr">
        <is>
          <t>累計</t>
        </is>
      </c>
    </row>
    <row r="31">
      <c r="A31" s="15" t="inlineStr">
        <is>
          <t>5月</t>
        </is>
      </c>
      <c r="B31" s="20" t="n">
        <v>0</v>
      </c>
      <c r="C31" s="20" t="n">
        <v>320000</v>
      </c>
      <c r="D31" s="20">
        <f>B31+C31</f>
        <v/>
      </c>
      <c r="E31" s="20">
        <f>D31</f>
        <v/>
      </c>
    </row>
    <row r="32">
      <c r="A32" s="17" t="inlineStr">
        <is>
          <t>6月</t>
        </is>
      </c>
      <c r="B32" s="21" t="n">
        <v>0</v>
      </c>
      <c r="C32" s="21" t="n">
        <v>480000</v>
      </c>
      <c r="D32" s="21">
        <f>B32+C32</f>
        <v/>
      </c>
      <c r="E32" s="21">
        <f>E31+D32</f>
        <v/>
      </c>
    </row>
    <row r="33">
      <c r="A33" s="15" t="inlineStr">
        <is>
          <t>7月</t>
        </is>
      </c>
      <c r="B33" s="20" t="n">
        <v>0</v>
      </c>
      <c r="C33" s="20" t="n">
        <v>640000</v>
      </c>
      <c r="D33" s="20">
        <f>B33+C33</f>
        <v/>
      </c>
      <c r="E33" s="20">
        <f>E32+D33</f>
        <v/>
      </c>
    </row>
    <row r="34">
      <c r="A34" s="17" t="inlineStr">
        <is>
          <t>8月</t>
        </is>
      </c>
      <c r="B34" s="21" t="n">
        <v>250000</v>
      </c>
      <c r="C34" s="21" t="n">
        <v>800000</v>
      </c>
      <c r="D34" s="21">
        <f>B34+C34</f>
        <v/>
      </c>
      <c r="E34" s="21">
        <f>E33+D34</f>
        <v/>
      </c>
    </row>
    <row r="35">
      <c r="A35" s="15" t="inlineStr">
        <is>
          <t>9月</t>
        </is>
      </c>
      <c r="B35" s="20" t="n">
        <v>350000</v>
      </c>
      <c r="C35" s="20" t="n">
        <v>960000</v>
      </c>
      <c r="D35" s="20">
        <f>B35+C35</f>
        <v/>
      </c>
      <c r="E35" s="20">
        <f>E34+D35</f>
        <v/>
      </c>
    </row>
    <row r="36">
      <c r="A36" s="17" t="inlineStr">
        <is>
          <t>10月</t>
        </is>
      </c>
      <c r="B36" s="21" t="n">
        <v>450000</v>
      </c>
      <c r="C36" s="21" t="n">
        <v>1120000</v>
      </c>
      <c r="D36" s="21">
        <f>B36+C36</f>
        <v/>
      </c>
      <c r="E36" s="21">
        <f>E35+D36</f>
        <v/>
      </c>
    </row>
    <row r="37">
      <c r="A37" s="15" t="inlineStr">
        <is>
          <t>11月</t>
        </is>
      </c>
      <c r="B37" s="20" t="n">
        <v>500000</v>
      </c>
      <c r="C37" s="20" t="n">
        <v>1280000</v>
      </c>
      <c r="D37" s="20">
        <f>B37+C37</f>
        <v/>
      </c>
      <c r="E37" s="20">
        <f>E36+D37</f>
        <v/>
      </c>
    </row>
    <row r="38">
      <c r="A38" s="17" t="inlineStr">
        <is>
          <t>12月</t>
        </is>
      </c>
      <c r="B38" s="21" t="n">
        <v>600000</v>
      </c>
      <c r="C38" s="21" t="n">
        <v>1440000</v>
      </c>
      <c r="D38" s="21">
        <f>B38+C38</f>
        <v/>
      </c>
      <c r="E38" s="21">
        <f>E37+D38</f>
        <v/>
      </c>
    </row>
    <row r="39">
      <c r="A39" s="19" t="inlineStr">
        <is>
          <t>合計</t>
        </is>
      </c>
      <c r="B39" s="25">
        <f>SUM(B31:B38)</f>
        <v/>
      </c>
      <c r="C39" s="25">
        <f>SUM(C31:C38)</f>
        <v/>
      </c>
      <c r="D39" s="25">
        <f>B39+C39</f>
        <v/>
      </c>
    </row>
  </sheetData>
  <mergeCells count="4">
    <mergeCell ref="A1:I1"/>
    <mergeCell ref="A3:I3"/>
    <mergeCell ref="A16:I16"/>
    <mergeCell ref="A29:I29"/>
  </mergeCells>
  <pageMargins left="0.75" right="0.75" top="1" bottom="1" header="0.5" footer="0.5"/>
</worksheet>
</file>

<file path=xl/worksheets/sheet10.xml><?xml version="1.0" encoding="utf-8"?>
<worksheet xmlns="http://schemas.openxmlformats.org/spreadsheetml/2006/main">
  <sheetPr>
    <tabColor rgb="009B59B6"/>
    <outlinePr summaryBelow="1" summaryRight="1"/>
    <pageSetUpPr/>
  </sheetPr>
  <dimension ref="A1:C9"/>
  <sheetViews>
    <sheetView workbookViewId="0">
      <selection activeCell="A1" sqref="A1"/>
    </sheetView>
  </sheetViews>
  <sheetFormatPr baseColWidth="8" defaultRowHeight="15"/>
  <cols>
    <col width="30" customWidth="1" min="1" max="1"/>
    <col width="40" customWidth="1" min="2" max="2"/>
    <col width="80" customWidth="1" min="3" max="3"/>
  </cols>
  <sheetData>
    <row r="1">
      <c r="A1" s="14" t="inlineStr">
        <is>
          <t>テンプレート名</t>
        </is>
      </c>
      <c r="B1" s="14" t="inlineStr">
        <is>
          <t>件名</t>
        </is>
      </c>
      <c r="C1" s="14" t="inlineStr">
        <is>
          <t>本文</t>
        </is>
      </c>
    </row>
    <row r="2" ht="300" customHeight="1">
      <c r="A2" s="28" t="inlineStr">
        <is>
          <t>資料送付メール（PF掲載フリープラン）</t>
        </is>
      </c>
      <c r="B2" s="29" t="inlineStr">
        <is>
          <t>ぺいほーむ 平屋専門プラットフォーム フリープランのご案内</t>
        </is>
      </c>
      <c r="C2" s="29" t="inlineStr">
        <is>
          <t>○○工務店 ○○様
お世話になっております。
平屋専門YouTubeメディア「ぺいほーむ」の○○です。
先ほどはお電話でお時間をいただき、ありがとうございました。
お電話でご案内いたしました、ぺいほーむプラットフォームの
フリープラン（3ヶ月間完全無料）の詳細資料をお送りいたします。
■ フリープランの概要
・期間：2026年5月1日〜7月31日（3ヶ月間）
・費用：月額0円 / 成果報酬0円（完全無料）
・含まれるもの：
  - 工務店紹介ページ作成・公開
  - 見学会・イベント告知（月1件）
  - 資料請求・見学会予約のリード送客
  - AIチャットでの基本情報回答
  - 月次閲覧レポート
■ 申込期限：4月20日（先着20社限定）
添付の資料をご確認いただき、
ご不明点がございましたらお気軽にご連絡ください。
ご検討のほど、よろしくお願いいたします。
━━━━━━━━━━━━━━━
株式会社wazeka ぺいほーむ事業部
○○ ○○
TEL: XXX-XXXX-XXXX
Email: info@payhome.jp
━━━━━━━━━━━━━━━</t>
        </is>
      </c>
    </row>
    <row r="3" ht="300" customHeight="1">
      <c r="A3" s="28" t="inlineStr">
        <is>
          <t>資料送付メール（マーケティング支援）</t>
        </is>
      </c>
      <c r="B3" s="29" t="inlineStr">
        <is>
          <t>ぺいほーむ マーケティング支援サービスのご案内</t>
        </is>
      </c>
      <c r="C3" s="29" t="inlineStr">
        <is>
          <t>○○工務店 ○○様
お世話になっております。
平屋専門YouTubeチャンネル「ぺいほーむ」の○○です。
先ほどはお電話でお時間をいただき、ありがとうございました。
登録者4万2千人・動画257本の実績を持つ
平屋専門の動画・SNSチームによるマーケティング支援の
詳細資料をお送りいたします。
■ グロースプラン（月額15万円）の場合
・ルームツアー動画 月1本（ぺいほーむchで公開＋御社に納品）
・ショート動画 月8本
・Instagram毎日投稿 / TikTok週3投稿
・LINE公式 月2配信
・月次レポート
一般の動画制作会社に同内容を依頼すると月50〜70万円が相場です。
ぺいほーむなら月15万円で、67〜79%のコスト削減が可能です。
オンラインで30分ほど、御社の施工事例を拝見しながら
具体的なご提案をさせていただければと思います。
下記よりご都合のよい日時をお知らせいただけますか？
ご検討のほど、よろしくお願いいたします。
━━━━━━━━━━━━━━━
株式会社wazeka ぺいほーむ事業部
○○ ○○
TEL: XXX-XXXX-XXXX
Email: info@payhome.jp
━━━━━━━━━━━━━━━</t>
        </is>
      </c>
    </row>
    <row r="4" ht="300" customHeight="1">
      <c r="A4" s="28" t="inlineStr">
        <is>
          <t>フォローメール（1週間後）</t>
        </is>
      </c>
      <c r="B4" s="29" t="inlineStr">
        <is>
          <t>【ぺいほーむ】先日お送りした資料のご確認</t>
        </is>
      </c>
      <c r="C4" s="29" t="inlineStr">
        <is>
          <t>○○工務店 ○○様
お世話になっております。
ぺいほーむの○○です。
先日お送りした資料はご確認いただけましたでしょうか？
フリープランは先着20社限定で、
申込期限が4月20日となっております。
現在○社のお申込みをいただいている状況です。
ご不明点やご質問がございましたら、
お気軽にご連絡ください。
よろしくお願いいたします。
━━━━━━━━━━━━━━━
株式会社wazeka ぺいほーむ事業部
━━━━━━━━━━━━━━━</t>
        </is>
      </c>
    </row>
    <row r="5" ht="300" customHeight="1">
      <c r="A5" s="28" t="inlineStr">
        <is>
          <t>商談お礼メール</t>
        </is>
      </c>
      <c r="B5" s="29" t="inlineStr">
        <is>
          <t>【ぺいほーむ】本日の商談のお礼</t>
        </is>
      </c>
      <c r="C5" s="29" t="inlineStr">
        <is>
          <t>○○工務店 ○○様
お世話になっております。
ぺいほーむの○○です。
本日はお忙しい中、お時間をいただきありがとうございました。
本日お話しした内容をまとめます。
■ ご提案内容
・プラン名：○○プラン
・月額：○○円
・開始時期：○月○日〜
■ 次のステップ
・○○様にご確認いただく事項：○○
・弊社で準備する事項：○○
・次回のご連絡予定：○月○日
ご不明点がございましたら、いつでもご連絡ください。
引き続きよろしくお願いいたします。
━━━━━━━━━━━━━━━
株式会社wazeka ぺいほーむ事業部
━━━━━━━━━━━━━━━</t>
        </is>
      </c>
    </row>
    <row r="6" ht="300" customHeight="1">
      <c r="A6" s="28" t="inlineStr">
        <is>
          <t>フリープラン申込確認メール</t>
        </is>
      </c>
      <c r="B6" s="29" t="inlineStr">
        <is>
          <t>【ぺいほーむ】フリープランお申込みの確認</t>
        </is>
      </c>
      <c r="C6" s="29" t="inlineStr">
        <is>
          <t>○○工務店 ○○様
お世話になっております。
ぺいほーむの○○です。
この度はフリープランにお申込みいただき、
誠にありがとうございます。
■ お申込み内容
・プラン：フリープラン（3ヶ月間完全無料）
・掲載開始日：2026年5月1日
・無料期間：2026年5月1日〜7月31日
■ 今後のスケジュール
1. 掲載に必要な情報のご提出（4月末まで）
   - 会社基本情報（確認済み）
   - 施工事例の写真 3〜5枚
   - 御社の特徴・強み
2. 掲載ページの作成（弊社で対応）
   - 公開前に内容をご確認いただきます
3. 5月1日 プラットフォームリリース
   - 掲載開始＋リード送客開始
施工事例の写真は、メール添付またはファイル共有サービスで
お送りいただければ幸いです。
ご不明点がございましたら、お気軽にご連絡ください。
今後ともよろしくお願いいたします。
━━━━━━━━━━━━━━━
株式会社wazeka ぺいほーむ事業部
━━━━━━━━━━━━━━━</t>
        </is>
      </c>
    </row>
    <row r="7" ht="300" customHeight="1">
      <c r="A7" s="28" t="inlineStr">
        <is>
          <t>月次レポート送付メール</t>
        </is>
      </c>
      <c r="B7" s="29" t="inlineStr">
        <is>
          <t>【ぺいほーむ】○月の掲載実績レポート</t>
        </is>
      </c>
      <c r="C7" s="29" t="inlineStr">
        <is>
          <t>○○工務店 ○○様
お世話になっております。
ぺいほーむの○○です。
○月の掲載実績レポートをお送りいたします。
━━━━━━━━━━━━━━━
■ ○月の実績
━━━━━━━━━━━━━━━
・ページ閲覧数：○○回（前月比 +○%）
・ユニークユーザー数：○○人
・資料請求：○件
・見学会予約：○件
・AIチャットでの質問：○件
詳細は添付のレポートをご確認ください。
来月もより多くの平屋検討者に
御社の魅力をお届けできるよう努めてまいります。
ご質問やご要望がございましたら、
お気軽にご連絡ください。
━━━━━━━━━━━━━━━
株式会社wazeka ぺいほーむ事業部
━━━━━━━━━━━━━━━</t>
        </is>
      </c>
    </row>
    <row r="8" ht="300" customHeight="1">
      <c r="A8" s="28" t="inlineStr">
        <is>
          <t>有料化事前通知メール（2ヶ月目に送付）</t>
        </is>
      </c>
      <c r="B8" s="29" t="inlineStr">
        <is>
          <t>【ぺいほーむ】フリープラン期間終了のご案内</t>
        </is>
      </c>
      <c r="C8" s="29" t="inlineStr">
        <is>
          <t>○○工務店 ○○様
いつもぺいほーむをご利用いただきありがとうございます。
フリープランの期間が7月31日に終了いたします。
この2ヶ月間の御社の実績をお伝えします。
━━━━━━━━━━━━━━━
■ 御社ページの実績（5月〜6月）
━━━━━━━━━━━━━━━
・ページ閲覧数：○○回
・資料請求：○件
・見学会予約：○件
・AIチャットでの御社への質問：○件
━━━━━━━━━━━━━━━
8月1日以降は有料プランへの移行となります。
御社の反響実績から、以下のプランをおすすめいたします。
【おすすめ：○○プラン】
・月額：○○円
・資料請求：○○円/件
・見学会来場：○○円/件
プランの詳細は添付資料をご確認ください。
ご不明点がございましたら、お気軽にご連絡ください。
━━━━━━━━━━━━━━━
株式会社wazeka ぺいほーむ事業部
━━━━━━━━━━━━━━━</t>
        </is>
      </c>
    </row>
    <row r="9" ht="300" customHeight="1">
      <c r="A9" s="28" t="inlineStr">
        <is>
          <t>3ヶ月総合レポート＋有料プラン提案メール</t>
        </is>
      </c>
      <c r="B9" s="29" t="inlineStr">
        <is>
          <t>【ぺいほーむ】3ヶ月間の総合レポート＋今後のプランのご案内</t>
        </is>
      </c>
      <c r="C9" s="29" t="inlineStr">
        <is>
          <t>○○工務店 ○○様
いつもぺいほーむをご利用いただきありがとうございます。
5月のリリースから3ヶ月間のフリープラン期間が
7月31日をもって終了いたします。
この3ヶ月間の御社の総合レポートをお送りいたします。
━━━━━━━━━━━━━━━
■ 3ヶ月間の総合実績
━━━━━━━━━━━━━━━
・ページ閲覧数（合計）：○○回
・ユニークユーザー数：○○人
・資料請求：○件
・見学会予約：○件
・AIチャットでの質問：○件
■ ユーザー属性
・年齢層：35〜44歳が○%
・エリア：○○市○%、○○市○%
━━━━━━━━━━━━━━━
8月以降のプランとして、
御社の実績データから最もコストパフォーマンスの高い
プランをご提案いたします。
【ご提案プラン：○○プラン】
・月額：○○円
・資料請求：○○円/件
・見学会来場：○○円/件
・推定月額コスト：○○円（直近3ヶ月のリード数から算出）
詳細は添付の総合レポートをご確認ください。
一度お会いして、データを見ながら
御社に最適なプランをご一緒に検討させてください。
下記の日程でお時間をいただけますか？
・○月○日（○）○時〜
・○月○日（○）○時〜
・○月○日（○）○時〜
ご検討のほど、よろしくお願いいたします。
━━━━━━━━━━━━━━━
株式会社wazeka ぺいほーむ事業部
━━━━━━━━━━━━━━━</t>
        </is>
      </c>
    </row>
  </sheetData>
  <pageMargins left="0.75" right="0.75" top="1" bottom="1" header="0.5" footer="0.5"/>
</worksheet>
</file>

<file path=xl/worksheets/sheet11.xml><?xml version="1.0" encoding="utf-8"?>
<worksheet xmlns="http://schemas.openxmlformats.org/spreadsheetml/2006/main">
  <sheetPr>
    <tabColor rgb="001ABC9C"/>
    <outlinePr summaryBelow="1" summaryRight="1"/>
    <pageSetUpPr/>
  </sheetPr>
  <dimension ref="A1:D29"/>
  <sheetViews>
    <sheetView workbookViewId="0">
      <selection activeCell="A1" sqref="A1"/>
    </sheetView>
  </sheetViews>
  <sheetFormatPr baseColWidth="8" defaultRowHeight="15"/>
  <cols>
    <col width="20" customWidth="1" min="1" max="1"/>
    <col width="25" customWidth="1" min="2" max="2"/>
    <col width="20" customWidth="1" min="3" max="3"/>
    <col width="20" customWidth="1" min="4" max="4"/>
  </cols>
  <sheetData>
    <row r="1">
      <c r="A1" s="1" t="inlineStr">
        <is>
          <t>月次レポートテンプレート（工務店送付用）</t>
        </is>
      </c>
    </row>
    <row r="3">
      <c r="A3" s="30" t="inlineStr">
        <is>
          <t>基本情報</t>
        </is>
      </c>
      <c r="B3" s="40" t="n"/>
      <c r="C3" s="40" t="n"/>
      <c r="D3" s="39" t="n"/>
    </row>
    <row r="4">
      <c r="A4" s="19" t="inlineStr">
        <is>
          <t>対象企業</t>
        </is>
      </c>
      <c r="B4" s="31" t="inlineStr">
        <is>
          <t>○○工務店</t>
        </is>
      </c>
      <c r="C4" s="40" t="n"/>
      <c r="D4" s="39" t="n"/>
    </row>
    <row r="5">
      <c r="A5" s="19" t="inlineStr">
        <is>
          <t>対象期間</t>
        </is>
      </c>
      <c r="B5" s="31" t="inlineStr">
        <is>
          <t>2026年○月</t>
        </is>
      </c>
      <c r="C5" s="40" t="n"/>
      <c r="D5" s="39" t="n"/>
    </row>
    <row r="6">
      <c r="A6" s="19" t="inlineStr">
        <is>
          <t>作成日</t>
        </is>
      </c>
      <c r="B6" s="31" t="inlineStr">
        <is>
          <t>2026年○月○日</t>
        </is>
      </c>
      <c r="C6" s="40" t="n"/>
      <c r="D6" s="39" t="n"/>
    </row>
    <row r="8">
      <c r="A8" s="30" t="inlineStr">
        <is>
          <t>掲載実績</t>
        </is>
      </c>
      <c r="B8" s="40" t="n"/>
      <c r="C8" s="40" t="n"/>
      <c r="D8" s="39" t="n"/>
    </row>
    <row r="9">
      <c r="A9" s="19" t="inlineStr">
        <is>
          <t>ページ閲覧数</t>
        </is>
      </c>
      <c r="B9" s="31" t="inlineStr">
        <is>
          <t>○○回</t>
        </is>
      </c>
      <c r="C9" s="40" t="n"/>
      <c r="D9" s="39" t="n"/>
    </row>
    <row r="10">
      <c r="A10" s="19" t="inlineStr">
        <is>
          <t>ユニークユーザー数</t>
        </is>
      </c>
      <c r="B10" s="31" t="inlineStr">
        <is>
          <t>○○人</t>
        </is>
      </c>
      <c r="C10" s="40" t="n"/>
      <c r="D10" s="39" t="n"/>
    </row>
    <row r="11">
      <c r="A11" s="19" t="inlineStr">
        <is>
          <t>平均滞在時間</t>
        </is>
      </c>
      <c r="B11" s="31" t="inlineStr">
        <is>
          <t>○分○秒</t>
        </is>
      </c>
      <c r="C11" s="40" t="n"/>
      <c r="D11" s="39" t="n"/>
    </row>
    <row r="12">
      <c r="A12" s="19" t="inlineStr">
        <is>
          <t>前月比</t>
        </is>
      </c>
      <c r="B12" s="31" t="inlineStr">
        <is>
          <t>+○%</t>
        </is>
      </c>
      <c r="C12" s="40" t="n"/>
      <c r="D12" s="39" t="n"/>
    </row>
    <row r="14">
      <c r="A14" s="30" t="inlineStr">
        <is>
          <t>リード実績</t>
        </is>
      </c>
      <c r="B14" s="40" t="n"/>
      <c r="C14" s="40" t="n"/>
      <c r="D14" s="39" t="n"/>
    </row>
    <row r="15">
      <c r="A15" s="19" t="inlineStr">
        <is>
          <t>資料請求</t>
        </is>
      </c>
      <c r="B15" s="31" t="inlineStr">
        <is>
          <t>○件</t>
        </is>
      </c>
      <c r="C15" s="40" t="n"/>
      <c r="D15" s="39" t="n"/>
    </row>
    <row r="16">
      <c r="A16" s="19" t="inlineStr">
        <is>
          <t>見学会予約</t>
        </is>
      </c>
      <c r="B16" s="31" t="inlineStr">
        <is>
          <t>○件</t>
        </is>
      </c>
      <c r="C16" s="40" t="n"/>
      <c r="D16" s="39" t="n"/>
    </row>
    <row r="17">
      <c r="A17" s="19" t="inlineStr">
        <is>
          <t>AIチャット質問</t>
        </is>
      </c>
      <c r="B17" s="31" t="inlineStr">
        <is>
          <t>○件</t>
        </is>
      </c>
      <c r="C17" s="40" t="n"/>
      <c r="D17" s="39" t="n"/>
    </row>
    <row r="18">
      <c r="A18" s="19" t="inlineStr">
        <is>
          <t>合計リード数</t>
        </is>
      </c>
      <c r="B18" s="31" t="inlineStr">
        <is>
          <t>○件</t>
        </is>
      </c>
      <c r="C18" s="40" t="n"/>
      <c r="D18" s="39" t="n"/>
    </row>
    <row r="20">
      <c r="A20" s="30" t="inlineStr">
        <is>
          <t>ユーザー属性</t>
        </is>
      </c>
      <c r="B20" s="40" t="n"/>
      <c r="C20" s="40" t="n"/>
      <c r="D20" s="39" t="n"/>
    </row>
    <row r="21">
      <c r="A21" s="19" t="inlineStr">
        <is>
          <t>年齢層</t>
        </is>
      </c>
      <c r="B21" s="31" t="inlineStr">
        <is>
          <t>35〜44歳が○%</t>
        </is>
      </c>
      <c r="C21" s="40" t="n"/>
      <c r="D21" s="39" t="n"/>
    </row>
    <row r="22">
      <c r="A22" s="19" t="inlineStr">
        <is>
          <t>エリア</t>
        </is>
      </c>
      <c r="B22" s="31" t="inlineStr">
        <is>
          <t>○○市○%</t>
        </is>
      </c>
      <c r="C22" s="40" t="n"/>
      <c r="D22" s="39" t="n"/>
    </row>
    <row r="23">
      <c r="A23" s="19" t="inlineStr">
        <is>
          <t>デバイス</t>
        </is>
      </c>
      <c r="B23" s="31" t="inlineStr">
        <is>
          <t>スマホ○% / PC○%</t>
        </is>
      </c>
      <c r="C23" s="40" t="n"/>
      <c r="D23" s="39" t="n"/>
    </row>
    <row r="24">
      <c r="A24" s="19" t="inlineStr">
        <is>
          <t>流入元</t>
        </is>
      </c>
      <c r="B24" s="31" t="inlineStr">
        <is>
          <t>YouTube○% / 検索○% / SNS○%</t>
        </is>
      </c>
      <c r="C24" s="40" t="n"/>
      <c r="D24" s="39" t="n"/>
    </row>
    <row r="26">
      <c r="A26" s="30" t="inlineStr">
        <is>
          <t>改善提案（掲載プロのみ）</t>
        </is>
      </c>
      <c r="B26" s="40" t="n"/>
      <c r="C26" s="40" t="n"/>
      <c r="D26" s="39" t="n"/>
    </row>
    <row r="27">
      <c r="A27" s="19" t="inlineStr">
        <is>
          <t>現状の課題</t>
        </is>
      </c>
      <c r="B27" s="31" t="inlineStr">
        <is>
          <t>○○</t>
        </is>
      </c>
      <c r="C27" s="40" t="n"/>
      <c r="D27" s="39" t="n"/>
    </row>
    <row r="28">
      <c r="A28" s="19" t="inlineStr">
        <is>
          <t>改善案</t>
        </is>
      </c>
      <c r="B28" s="31" t="inlineStr">
        <is>
          <t>○○</t>
        </is>
      </c>
      <c r="C28" s="40" t="n"/>
      <c r="D28" s="39" t="n"/>
    </row>
    <row r="29">
      <c r="A29" s="19" t="inlineStr">
        <is>
          <t>次月の施策</t>
        </is>
      </c>
      <c r="B29" s="31" t="inlineStr">
        <is>
          <t>○○</t>
        </is>
      </c>
      <c r="C29" s="40" t="n"/>
      <c r="D29" s="39" t="n"/>
    </row>
  </sheetData>
  <mergeCells count="24">
    <mergeCell ref="B11:D11"/>
    <mergeCell ref="A8:D8"/>
    <mergeCell ref="B23:D23"/>
    <mergeCell ref="A20:D20"/>
    <mergeCell ref="B17:D17"/>
    <mergeCell ref="B29:D29"/>
    <mergeCell ref="B10:D10"/>
    <mergeCell ref="B28:D28"/>
    <mergeCell ref="B9:D9"/>
    <mergeCell ref="B15:D15"/>
    <mergeCell ref="B6:D6"/>
    <mergeCell ref="B24:D24"/>
    <mergeCell ref="A1:D1"/>
    <mergeCell ref="B5:D5"/>
    <mergeCell ref="B4:D4"/>
    <mergeCell ref="B16:D16"/>
    <mergeCell ref="B22:D22"/>
    <mergeCell ref="A3:D3"/>
    <mergeCell ref="A26:D26"/>
    <mergeCell ref="B18:D18"/>
    <mergeCell ref="B27:D27"/>
    <mergeCell ref="B21:D21"/>
    <mergeCell ref="B12:D12"/>
    <mergeCell ref="A14:D14"/>
  </mergeCells>
  <pageMargins left="0.75" right="0.75" top="1" bottom="1" header="0.5" footer="0.5"/>
</worksheet>
</file>

<file path=xl/worksheets/sheet12.xml><?xml version="1.0" encoding="utf-8"?>
<worksheet xmlns="http://schemas.openxmlformats.org/spreadsheetml/2006/main">
  <sheetPr>
    <tabColor rgb="0034495E"/>
    <outlinePr summaryBelow="1" summaryRight="1"/>
    <pageSetUpPr/>
  </sheetPr>
  <dimension ref="A1:AL18"/>
  <sheetViews>
    <sheetView workbookViewId="0">
      <selection activeCell="A1" sqref="A1"/>
    </sheetView>
  </sheetViews>
  <sheetFormatPr baseColWidth="8" defaultRowHeight="15"/>
  <cols>
    <col width="14" customWidth="1" min="1" max="1"/>
    <col width="28"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s>
  <sheetData>
    <row r="1">
      <c r="A1" s="1" t="inlineStr">
        <is>
          <t>営業ガントチャート</t>
        </is>
      </c>
    </row>
    <row r="2">
      <c r="A2" s="14" t="inlineStr">
        <is>
          <t>カテゴリ</t>
        </is>
      </c>
      <c r="B2" s="14" t="inlineStr">
        <is>
          <t>タスク</t>
        </is>
      </c>
      <c r="C2" s="32" t="inlineStr">
        <is>
          <t>W1
03/23</t>
        </is>
      </c>
      <c r="D2" s="32" t="inlineStr">
        <is>
          <t>W2
03/30</t>
        </is>
      </c>
      <c r="E2" s="32" t="inlineStr">
        <is>
          <t>W3
04/06</t>
        </is>
      </c>
      <c r="F2" s="32" t="inlineStr">
        <is>
          <t>W4
04/13</t>
        </is>
      </c>
      <c r="G2" s="32" t="inlineStr">
        <is>
          <t>W5
04/20</t>
        </is>
      </c>
      <c r="H2" s="32" t="inlineStr">
        <is>
          <t>W6
04/27</t>
        </is>
      </c>
      <c r="I2" s="32" t="inlineStr">
        <is>
          <t>W7
05/04</t>
        </is>
      </c>
      <c r="J2" s="32" t="inlineStr">
        <is>
          <t>W8
05/11</t>
        </is>
      </c>
      <c r="K2" s="32" t="inlineStr">
        <is>
          <t>W9
05/18</t>
        </is>
      </c>
      <c r="L2" s="32" t="inlineStr">
        <is>
          <t>W10
05/25</t>
        </is>
      </c>
      <c r="M2" s="32" t="inlineStr">
        <is>
          <t>W11
06/01</t>
        </is>
      </c>
      <c r="N2" s="32" t="inlineStr">
        <is>
          <t>W12
06/08</t>
        </is>
      </c>
      <c r="O2" s="32" t="inlineStr">
        <is>
          <t>W13
06/15</t>
        </is>
      </c>
      <c r="P2" s="32" t="inlineStr">
        <is>
          <t>W14
06/22</t>
        </is>
      </c>
      <c r="Q2" s="32" t="inlineStr">
        <is>
          <t>W15
06/29</t>
        </is>
      </c>
      <c r="R2" s="32" t="inlineStr">
        <is>
          <t>W16
07/06</t>
        </is>
      </c>
      <c r="S2" s="32" t="inlineStr">
        <is>
          <t>W17
07/13</t>
        </is>
      </c>
      <c r="T2" s="32" t="inlineStr">
        <is>
          <t>W18
07/20</t>
        </is>
      </c>
      <c r="U2" s="32" t="inlineStr">
        <is>
          <t>W19
07/27</t>
        </is>
      </c>
      <c r="V2" s="32" t="inlineStr">
        <is>
          <t>W20
08/03</t>
        </is>
      </c>
      <c r="W2" s="32" t="inlineStr">
        <is>
          <t>W21
08/10</t>
        </is>
      </c>
      <c r="X2" s="32" t="inlineStr">
        <is>
          <t>W22
08/17</t>
        </is>
      </c>
      <c r="Y2" s="32" t="inlineStr">
        <is>
          <t>W23
08/24</t>
        </is>
      </c>
      <c r="Z2" s="32" t="inlineStr">
        <is>
          <t>W24
08/31</t>
        </is>
      </c>
      <c r="AA2" s="32" t="inlineStr">
        <is>
          <t>W25
09/07</t>
        </is>
      </c>
      <c r="AB2" s="32" t="inlineStr">
        <is>
          <t>W26
09/14</t>
        </is>
      </c>
      <c r="AC2" s="32" t="inlineStr">
        <is>
          <t>W27
09/21</t>
        </is>
      </c>
      <c r="AD2" s="32" t="inlineStr">
        <is>
          <t>W28
09/28</t>
        </is>
      </c>
      <c r="AE2" s="32" t="inlineStr">
        <is>
          <t>W29
10/05</t>
        </is>
      </c>
      <c r="AF2" s="32" t="inlineStr">
        <is>
          <t>W30
10/12</t>
        </is>
      </c>
      <c r="AG2" s="32" t="inlineStr">
        <is>
          <t>W31
10/19</t>
        </is>
      </c>
      <c r="AH2" s="32" t="inlineStr">
        <is>
          <t>W32
10/26</t>
        </is>
      </c>
      <c r="AI2" s="32" t="inlineStr">
        <is>
          <t>W33
11/02</t>
        </is>
      </c>
      <c r="AJ2" s="32" t="inlineStr">
        <is>
          <t>W34
11/09</t>
        </is>
      </c>
      <c r="AK2" s="32" t="inlineStr">
        <is>
          <t>W35
11/16</t>
        </is>
      </c>
      <c r="AL2" s="32" t="inlineStr">
        <is>
          <t>W36
11/23</t>
        </is>
      </c>
    </row>
    <row r="3">
      <c r="A3" s="31" t="inlineStr">
        <is>
          <t>営業準備</t>
        </is>
      </c>
      <c r="B3" s="31" t="inlineStr">
        <is>
          <t>リスト作成・資料準備</t>
        </is>
      </c>
      <c r="C3" s="33" t="n"/>
    </row>
    <row r="4">
      <c r="A4" s="31" t="inlineStr">
        <is>
          <t>営業準備</t>
        </is>
      </c>
      <c r="B4" s="31" t="inlineStr">
        <is>
          <t>テレアポロープレ</t>
        </is>
      </c>
      <c r="C4" s="33" t="n"/>
    </row>
    <row r="5">
      <c r="A5" s="31" t="inlineStr">
        <is>
          <t>PF掲載</t>
        </is>
      </c>
      <c r="B5" s="31" t="inlineStr">
        <is>
          <t>テレアポ（鹿児島）</t>
        </is>
      </c>
      <c r="D5" s="34" t="n"/>
      <c r="E5" s="34" t="n"/>
      <c r="F5" s="34" t="n"/>
    </row>
    <row r="6">
      <c r="A6" s="31" t="inlineStr">
        <is>
          <t>マーケ支援</t>
        </is>
      </c>
      <c r="B6" s="31" t="inlineStr">
        <is>
          <t>テレアポ（全国）</t>
        </is>
      </c>
      <c r="D6" s="35" t="n"/>
      <c r="E6" s="35" t="n"/>
      <c r="F6" s="35" t="n"/>
    </row>
    <row r="7">
      <c r="A7" s="31" t="inlineStr">
        <is>
          <t>PF掲載</t>
        </is>
      </c>
      <c r="B7" s="31" t="inlineStr">
        <is>
          <t>商談・訪問</t>
        </is>
      </c>
      <c r="E7" s="34" t="n"/>
      <c r="F7" s="34" t="n"/>
    </row>
    <row r="8">
      <c r="A8" s="31" t="inlineStr">
        <is>
          <t>マーケ支援</t>
        </is>
      </c>
      <c r="B8" s="31" t="inlineStr">
        <is>
          <t>オンライン商談</t>
        </is>
      </c>
      <c r="E8" s="35" t="n"/>
      <c r="F8" s="35" t="n"/>
    </row>
    <row r="9">
      <c r="A9" s="31" t="inlineStr">
        <is>
          <t>PF掲載</t>
        </is>
      </c>
      <c r="B9" s="31" t="inlineStr">
        <is>
          <t>クロージング（〜4/20）</t>
        </is>
      </c>
      <c r="F9" s="36" t="n"/>
    </row>
    <row r="10">
      <c r="A10" s="31" t="inlineStr">
        <is>
          <t>掲載準備</t>
        </is>
      </c>
      <c r="B10" s="31" t="inlineStr">
        <is>
          <t>掲載ページ作成</t>
        </is>
      </c>
      <c r="G10" s="37" t="n"/>
      <c r="H10" s="37" t="n"/>
    </row>
    <row r="11">
      <c r="A11" s="31" t="inlineStr">
        <is>
          <t>運用</t>
        </is>
      </c>
      <c r="B11" s="31" t="inlineStr">
        <is>
          <t>初回撮影（マーケ支援）</t>
        </is>
      </c>
      <c r="G11" s="37" t="n"/>
      <c r="H11" s="37" t="n"/>
    </row>
    <row r="12">
      <c r="A12" s="31" t="inlineStr"/>
      <c r="B12" s="19" t="inlineStr">
        <is>
          <t>★ 5/1 リリース</t>
        </is>
      </c>
      <c r="H12" s="38" t="n"/>
    </row>
    <row r="13">
      <c r="A13" s="31" t="inlineStr">
        <is>
          <t>運用</t>
        </is>
      </c>
      <c r="B13" s="31" t="inlineStr">
        <is>
          <t>フリープラン運用</t>
        </is>
      </c>
      <c r="H13" s="34" t="n"/>
      <c r="I13" s="34" t="n"/>
      <c r="J13" s="34" t="n"/>
      <c r="K13" s="34" t="n"/>
      <c r="L13" s="34" t="n"/>
      <c r="M13" s="34" t="n"/>
      <c r="N13" s="34" t="n"/>
      <c r="O13" s="34" t="n"/>
      <c r="P13" s="34" t="n"/>
      <c r="Q13" s="34" t="n"/>
      <c r="R13" s="34" t="n"/>
      <c r="S13" s="34" t="n"/>
      <c r="T13" s="34" t="n"/>
    </row>
    <row r="14">
      <c r="A14" s="31" t="inlineStr">
        <is>
          <t>レポート</t>
        </is>
      </c>
      <c r="B14" s="31" t="inlineStr">
        <is>
          <t>月次レポート送付</t>
        </is>
      </c>
      <c r="K14" s="33" t="n"/>
    </row>
    <row r="15">
      <c r="A15" s="31" t="inlineStr">
        <is>
          <t>レポート</t>
        </is>
      </c>
      <c r="B15" s="31" t="inlineStr">
        <is>
          <t>月次レポート送付</t>
        </is>
      </c>
      <c r="O15" s="33" t="n"/>
    </row>
    <row r="16">
      <c r="A16" s="31" t="inlineStr">
        <is>
          <t>PF掲載</t>
        </is>
      </c>
      <c r="B16" s="31" t="inlineStr">
        <is>
          <t>3ヶ月レポート＋有料化提案</t>
        </is>
      </c>
      <c r="S16" s="36" t="n"/>
      <c r="T16" s="36" t="n"/>
    </row>
    <row r="17">
      <c r="A17" s="31" t="inlineStr"/>
      <c r="B17" s="19" t="inlineStr">
        <is>
          <t>★ 8/1 有料移行</t>
        </is>
      </c>
      <c r="U17" s="38" t="n"/>
    </row>
    <row r="18">
      <c r="A18" s="31" t="inlineStr">
        <is>
          <t>運用</t>
        </is>
      </c>
      <c r="B18" s="31" t="inlineStr">
        <is>
          <t>有料運用＋クロスセル</t>
        </is>
      </c>
      <c r="U18" s="35" t="n"/>
      <c r="V18" s="35" t="n"/>
      <c r="W18" s="35" t="n"/>
      <c r="X18" s="35" t="n"/>
      <c r="Y18" s="35" t="n"/>
      <c r="Z18" s="35" t="n"/>
      <c r="AA18" s="35" t="n"/>
      <c r="AB18" s="35" t="n"/>
      <c r="AC18" s="35" t="n"/>
      <c r="AD18" s="35" t="n"/>
      <c r="AE18" s="35" t="n"/>
      <c r="AF18" s="35" t="n"/>
      <c r="AG18" s="35" t="n"/>
      <c r="AH18" s="35" t="n"/>
      <c r="AI18" s="35" t="n"/>
      <c r="AJ18" s="35" t="n"/>
      <c r="AK18" s="35" t="n"/>
      <c r="AL18" s="35" t="n"/>
    </row>
  </sheetData>
  <mergeCells count="1">
    <mergeCell ref="A1:AJ1"/>
  </mergeCells>
  <pageMargins left="0.75" right="0.75" top="1" bottom="1" header="0.5" footer="0.5"/>
</worksheet>
</file>

<file path=xl/worksheets/sheet13.xml><?xml version="1.0" encoding="utf-8"?>
<worksheet xmlns="http://schemas.openxmlformats.org/spreadsheetml/2006/main">
  <sheetPr>
    <tabColor rgb="0016A085"/>
    <outlinePr summaryBelow="1" summaryRight="1"/>
    <pageSetUpPr/>
  </sheetPr>
  <dimension ref="A1:F40"/>
  <sheetViews>
    <sheetView workbookViewId="0">
      <selection activeCell="A1" sqref="A1"/>
    </sheetView>
  </sheetViews>
  <sheetFormatPr baseColWidth="8" defaultRowHeight="15"/>
  <cols>
    <col width="18" customWidth="1" min="1" max="1"/>
    <col width="35" customWidth="1" min="2" max="2"/>
    <col width="18" customWidth="1" min="3" max="3"/>
    <col width="18" customWidth="1" min="4" max="4"/>
    <col width="18" customWidth="1" min="5" max="5"/>
    <col width="18" customWidth="1" min="6" max="6"/>
  </cols>
  <sheetData>
    <row r="1">
      <c r="A1" s="18" t="inlineStr">
        <is>
          <t>右田 のタスク一覧</t>
        </is>
      </c>
    </row>
    <row r="2">
      <c r="A2" s="14" t="inlineStr">
        <is>
          <t>ID</t>
        </is>
      </c>
      <c r="B2" s="14" t="inlineStr">
        <is>
          <t>タスク名</t>
        </is>
      </c>
      <c r="C2" s="14" t="inlineStr">
        <is>
          <t>期限</t>
        </is>
      </c>
      <c r="D2" s="14" t="inlineStr">
        <is>
          <t>ステータス</t>
        </is>
      </c>
      <c r="E2" s="14" t="inlineStr">
        <is>
          <t>優先度</t>
        </is>
      </c>
      <c r="F2" s="14" t="inlineStr">
        <is>
          <t>メモ</t>
        </is>
      </c>
    </row>
    <row r="3">
      <c r="A3" s="15" t="inlineStr">
        <is>
          <t>S-01</t>
        </is>
      </c>
      <c r="B3" s="15" t="inlineStr">
        <is>
          <t>テレアポリスト作成（鹿児島50社）</t>
        </is>
      </c>
      <c r="C3" s="15" t="inlineStr">
        <is>
          <t>2026/3/28</t>
        </is>
      </c>
      <c r="D3" s="15" t="inlineStr">
        <is>
          <t>未着手</t>
        </is>
      </c>
      <c r="E3" s="16" t="inlineStr">
        <is>
          <t>高</t>
        </is>
      </c>
      <c r="F3" s="15" t="n"/>
    </row>
    <row r="4">
      <c r="A4" s="15" t="inlineStr">
        <is>
          <t>S-03</t>
        </is>
      </c>
      <c r="B4" s="15" t="inlineStr">
        <is>
          <t>営業資料最終確認</t>
        </is>
      </c>
      <c r="C4" s="15" t="inlineStr">
        <is>
          <t>2026/3/28</t>
        </is>
      </c>
      <c r="D4" s="15" t="inlineStr">
        <is>
          <t>未着手</t>
        </is>
      </c>
      <c r="E4" s="16" t="inlineStr">
        <is>
          <t>高</t>
        </is>
      </c>
      <c r="F4" s="15" t="n"/>
    </row>
    <row r="5">
      <c r="A5" s="15" t="inlineStr">
        <is>
          <t>S-04</t>
        </is>
      </c>
      <c r="B5" s="15" t="inlineStr">
        <is>
          <t>テレアポロープレ実施</t>
        </is>
      </c>
      <c r="C5" s="15" t="inlineStr">
        <is>
          <t>2026/3/28</t>
        </is>
      </c>
      <c r="D5" s="15" t="inlineStr">
        <is>
          <t>未着手</t>
        </is>
      </c>
      <c r="E5" s="16" t="inlineStr">
        <is>
          <t>高</t>
        </is>
      </c>
      <c r="F5" s="15" t="n"/>
    </row>
    <row r="6">
      <c r="A6" s="15" t="inlineStr">
        <is>
          <t>S-05</t>
        </is>
      </c>
      <c r="B6" s="15" t="inlineStr">
        <is>
          <t>テレアポ実施（鹿児島）Week2</t>
        </is>
      </c>
      <c r="C6" s="15" t="inlineStr">
        <is>
          <t>2026/4/4</t>
        </is>
      </c>
      <c r="D6" s="15" t="inlineStr">
        <is>
          <t>未着手</t>
        </is>
      </c>
      <c r="E6" s="16" t="inlineStr">
        <is>
          <t>高</t>
        </is>
      </c>
      <c r="F6" s="15" t="n"/>
    </row>
    <row r="7">
      <c r="A7" s="15" t="inlineStr">
        <is>
          <t>S-07</t>
        </is>
      </c>
      <c r="B7" s="15" t="inlineStr">
        <is>
          <t>資料送付フォロー</t>
        </is>
      </c>
      <c r="C7" s="15" t="inlineStr">
        <is>
          <t>2026/4/11</t>
        </is>
      </c>
      <c r="D7" s="15" t="inlineStr">
        <is>
          <t>未着手</t>
        </is>
      </c>
      <c r="E7" s="16" t="inlineStr">
        <is>
          <t>高</t>
        </is>
      </c>
      <c r="F7" s="15" t="n"/>
    </row>
    <row r="8">
      <c r="A8" s="15" t="inlineStr">
        <is>
          <t>S-08</t>
        </is>
      </c>
      <c r="B8" s="15" t="inlineStr">
        <is>
          <t>テレアポ継続（鹿児島）Week3</t>
        </is>
      </c>
      <c r="C8" s="15" t="inlineStr">
        <is>
          <t>2026/4/11</t>
        </is>
      </c>
      <c r="D8" s="15" t="inlineStr">
        <is>
          <t>未着手</t>
        </is>
      </c>
      <c r="E8" s="16" t="inlineStr">
        <is>
          <t>高</t>
        </is>
      </c>
      <c r="F8" s="15" t="n"/>
    </row>
    <row r="9">
      <c r="A9" s="15" t="inlineStr">
        <is>
          <t>S-10</t>
        </is>
      </c>
      <c r="B9" s="15" t="inlineStr">
        <is>
          <t>訪問商談（PF掲載）</t>
        </is>
      </c>
      <c r="C9" s="15" t="inlineStr">
        <is>
          <t>2026/4/18</t>
        </is>
      </c>
      <c r="D9" s="15" t="inlineStr">
        <is>
          <t>未着手</t>
        </is>
      </c>
      <c r="E9" s="16" t="inlineStr">
        <is>
          <t>高</t>
        </is>
      </c>
      <c r="F9" s="15" t="n"/>
    </row>
    <row r="10">
      <c r="A10" s="15" t="inlineStr">
        <is>
          <t>S-11</t>
        </is>
      </c>
      <c r="B10" s="15" t="inlineStr">
        <is>
          <t>フリープラン申込クロージング</t>
        </is>
      </c>
      <c r="C10" s="15" t="inlineStr">
        <is>
          <t>2026/4/20</t>
        </is>
      </c>
      <c r="D10" s="15" t="inlineStr">
        <is>
          <t>未着手</t>
        </is>
      </c>
      <c r="E10" s="16" t="inlineStr">
        <is>
          <t>高</t>
        </is>
      </c>
      <c r="F10" s="15" t="n"/>
    </row>
    <row r="11">
      <c r="A11" s="15" t="inlineStr">
        <is>
          <t>S-15</t>
        </is>
      </c>
      <c r="B11" s="15" t="inlineStr">
        <is>
          <t>リリース最終準備</t>
        </is>
      </c>
      <c r="C11" s="15" t="inlineStr">
        <is>
          <t>2026/4/30</t>
        </is>
      </c>
      <c r="D11" s="15" t="inlineStr">
        <is>
          <t>未着手</t>
        </is>
      </c>
      <c r="E11" s="16" t="inlineStr">
        <is>
          <t>高</t>
        </is>
      </c>
      <c r="F11" s="15" t="n"/>
    </row>
    <row r="12">
      <c r="A12" s="15" t="inlineStr">
        <is>
          <t>S-16</t>
        </is>
      </c>
      <c r="B12" s="15" t="inlineStr">
        <is>
          <t>月次レポート作成（5月分）</t>
        </is>
      </c>
      <c r="C12" s="15" t="inlineStr">
        <is>
          <t>2026/6/5</t>
        </is>
      </c>
      <c r="D12" s="15" t="inlineStr">
        <is>
          <t>未着手</t>
        </is>
      </c>
      <c r="E12" s="15" t="inlineStr">
        <is>
          <t>中</t>
        </is>
      </c>
      <c r="F12" s="15" t="n"/>
    </row>
    <row r="13">
      <c r="A13" s="15" t="inlineStr">
        <is>
          <t>S-17</t>
        </is>
      </c>
      <c r="B13" s="15" t="inlineStr">
        <is>
          <t>月次レポート作成（6月分）</t>
        </is>
      </c>
      <c r="C13" s="15" t="inlineStr">
        <is>
          <t>2026/7/5</t>
        </is>
      </c>
      <c r="D13" s="15" t="inlineStr">
        <is>
          <t>未着手</t>
        </is>
      </c>
      <c r="E13" s="15" t="inlineStr">
        <is>
          <t>中</t>
        </is>
      </c>
      <c r="F13" s="15" t="n"/>
    </row>
    <row r="14">
      <c r="A14" s="15" t="inlineStr">
        <is>
          <t>S-18</t>
        </is>
      </c>
      <c r="B14" s="15" t="inlineStr">
        <is>
          <t>3ヶ月総合レポート作成</t>
        </is>
      </c>
      <c r="C14" s="15" t="inlineStr">
        <is>
          <t>2026/7/20</t>
        </is>
      </c>
      <c r="D14" s="15" t="inlineStr">
        <is>
          <t>未着手</t>
        </is>
      </c>
      <c r="E14" s="16" t="inlineStr">
        <is>
          <t>高</t>
        </is>
      </c>
      <c r="F14" s="15" t="n"/>
    </row>
    <row r="15">
      <c r="A15" s="15" t="inlineStr">
        <is>
          <t>S-19</t>
        </is>
      </c>
      <c r="B15" s="15" t="inlineStr">
        <is>
          <t>有料化提案準備</t>
        </is>
      </c>
      <c r="C15" s="15" t="inlineStr">
        <is>
          <t>2026/7/25</t>
        </is>
      </c>
      <c r="D15" s="15" t="inlineStr">
        <is>
          <t>未着手</t>
        </is>
      </c>
      <c r="E15" s="16" t="inlineStr">
        <is>
          <t>高</t>
        </is>
      </c>
      <c r="F15" s="15" t="n"/>
    </row>
    <row r="16">
      <c r="A16" s="15" t="inlineStr">
        <is>
          <t>S-20</t>
        </is>
      </c>
      <c r="B16" s="15" t="inlineStr">
        <is>
          <t>有料化提案訪問</t>
        </is>
      </c>
      <c r="C16" s="15" t="inlineStr">
        <is>
          <t>2026/7/31</t>
        </is>
      </c>
      <c r="D16" s="15" t="inlineStr">
        <is>
          <t>未着手</t>
        </is>
      </c>
      <c r="E16" s="16" t="inlineStr">
        <is>
          <t>高</t>
        </is>
      </c>
      <c r="F16" s="15" t="n"/>
    </row>
    <row r="19">
      <c r="A19" s="18" t="inlineStr">
        <is>
          <t>営業A のタスク一覧</t>
        </is>
      </c>
    </row>
    <row r="20">
      <c r="A20" s="14" t="inlineStr">
        <is>
          <t>ID</t>
        </is>
      </c>
      <c r="B20" s="14" t="inlineStr">
        <is>
          <t>タスク名</t>
        </is>
      </c>
      <c r="C20" s="14" t="inlineStr">
        <is>
          <t>期限</t>
        </is>
      </c>
      <c r="D20" s="14" t="inlineStr">
        <is>
          <t>ステータス</t>
        </is>
      </c>
      <c r="E20" s="14" t="inlineStr">
        <is>
          <t>優先度</t>
        </is>
      </c>
      <c r="F20" s="14" t="inlineStr">
        <is>
          <t>メモ</t>
        </is>
      </c>
    </row>
    <row r="21">
      <c r="A21" s="15" t="inlineStr">
        <is>
          <t>S-02</t>
        </is>
      </c>
      <c r="B21" s="15" t="inlineStr">
        <is>
          <t>テレアポリスト作成（全国30社）</t>
        </is>
      </c>
      <c r="C21" s="15" t="inlineStr">
        <is>
          <t>2026/3/28</t>
        </is>
      </c>
      <c r="D21" s="15" t="inlineStr">
        <is>
          <t>未着手</t>
        </is>
      </c>
      <c r="E21" s="16" t="inlineStr">
        <is>
          <t>高</t>
        </is>
      </c>
      <c r="F21" s="15" t="n"/>
    </row>
    <row r="22">
      <c r="A22" s="15" t="inlineStr">
        <is>
          <t>S-04</t>
        </is>
      </c>
      <c r="B22" s="15" t="inlineStr">
        <is>
          <t>テレアポロープレ実施</t>
        </is>
      </c>
      <c r="C22" s="15" t="inlineStr">
        <is>
          <t>2026/3/28</t>
        </is>
      </c>
      <c r="D22" s="15" t="inlineStr">
        <is>
          <t>未着手</t>
        </is>
      </c>
      <c r="E22" s="16" t="inlineStr">
        <is>
          <t>高</t>
        </is>
      </c>
      <c r="F22" s="15" t="n"/>
    </row>
    <row r="23">
      <c r="A23" s="15" t="inlineStr">
        <is>
          <t>S-06</t>
        </is>
      </c>
      <c r="B23" s="15" t="inlineStr">
        <is>
          <t>テレアポ実施（全国）Week2</t>
        </is>
      </c>
      <c r="C23" s="15" t="inlineStr">
        <is>
          <t>2026/4/4</t>
        </is>
      </c>
      <c r="D23" s="15" t="inlineStr">
        <is>
          <t>未着手</t>
        </is>
      </c>
      <c r="E23" s="16" t="inlineStr">
        <is>
          <t>高</t>
        </is>
      </c>
      <c r="F23" s="15" t="n"/>
    </row>
    <row r="24">
      <c r="A24" s="15" t="inlineStr">
        <is>
          <t>S-09</t>
        </is>
      </c>
      <c r="B24" s="15" t="inlineStr">
        <is>
          <t>オンライン商談（マーケ支援）</t>
        </is>
      </c>
      <c r="C24" s="15" t="inlineStr">
        <is>
          <t>2026/4/11</t>
        </is>
      </c>
      <c r="D24" s="15" t="inlineStr">
        <is>
          <t>未着手</t>
        </is>
      </c>
      <c r="E24" s="16" t="inlineStr">
        <is>
          <t>高</t>
        </is>
      </c>
      <c r="F24" s="15" t="n"/>
    </row>
    <row r="25">
      <c r="A25" s="15" t="inlineStr">
        <is>
          <t>S-12</t>
        </is>
      </c>
      <c r="B25" s="15" t="inlineStr">
        <is>
          <t>マーケ支援 契約クロージング</t>
        </is>
      </c>
      <c r="C25" s="15" t="inlineStr">
        <is>
          <t>2026/4/20</t>
        </is>
      </c>
      <c r="D25" s="15" t="inlineStr">
        <is>
          <t>未着手</t>
        </is>
      </c>
      <c r="E25" s="16" t="inlineStr">
        <is>
          <t>高</t>
        </is>
      </c>
      <c r="F25" s="15" t="n"/>
    </row>
    <row r="26">
      <c r="A26" s="15" t="inlineStr">
        <is>
          <t>S-15</t>
        </is>
      </c>
      <c r="B26" s="15" t="inlineStr">
        <is>
          <t>リリース最終準備</t>
        </is>
      </c>
      <c r="C26" s="15" t="inlineStr">
        <is>
          <t>2026/4/30</t>
        </is>
      </c>
      <c r="D26" s="15" t="inlineStr">
        <is>
          <t>未着手</t>
        </is>
      </c>
      <c r="E26" s="16" t="inlineStr">
        <is>
          <t>高</t>
        </is>
      </c>
      <c r="F26" s="15" t="n"/>
    </row>
    <row r="29">
      <c r="A29" s="18" t="inlineStr">
        <is>
          <t>営業B のタスク一覧</t>
        </is>
      </c>
    </row>
    <row r="30">
      <c r="A30" s="14" t="inlineStr">
        <is>
          <t>ID</t>
        </is>
      </c>
      <c r="B30" s="14" t="inlineStr">
        <is>
          <t>タスク名</t>
        </is>
      </c>
      <c r="C30" s="14" t="inlineStr">
        <is>
          <t>期限</t>
        </is>
      </c>
      <c r="D30" s="14" t="inlineStr">
        <is>
          <t>ステータス</t>
        </is>
      </c>
      <c r="E30" s="14" t="inlineStr">
        <is>
          <t>優先度</t>
        </is>
      </c>
      <c r="F30" s="14" t="inlineStr">
        <is>
          <t>メモ</t>
        </is>
      </c>
    </row>
    <row r="31">
      <c r="A31" s="15" t="inlineStr">
        <is>
          <t>S-04</t>
        </is>
      </c>
      <c r="B31" s="15" t="inlineStr">
        <is>
          <t>テレアポロープレ実施</t>
        </is>
      </c>
      <c r="C31" s="15" t="inlineStr">
        <is>
          <t>2026/3/28</t>
        </is>
      </c>
      <c r="D31" s="15" t="inlineStr">
        <is>
          <t>未着手</t>
        </is>
      </c>
      <c r="E31" s="16" t="inlineStr">
        <is>
          <t>高</t>
        </is>
      </c>
      <c r="F31" s="15" t="n"/>
    </row>
    <row r="32">
      <c r="A32" s="15" t="inlineStr">
        <is>
          <t>S-15</t>
        </is>
      </c>
      <c r="B32" s="15" t="inlineStr">
        <is>
          <t>リリース最終準備</t>
        </is>
      </c>
      <c r="C32" s="15" t="inlineStr">
        <is>
          <t>2026/4/30</t>
        </is>
      </c>
      <c r="D32" s="15" t="inlineStr">
        <is>
          <t>未着手</t>
        </is>
      </c>
      <c r="E32" s="16" t="inlineStr">
        <is>
          <t>高</t>
        </is>
      </c>
      <c r="F32" s="15" t="n"/>
    </row>
    <row r="35">
      <c r="A35" s="18" t="inlineStr">
        <is>
          <t>制作 のタスク一覧</t>
        </is>
      </c>
    </row>
    <row r="36">
      <c r="A36" s="14" t="inlineStr">
        <is>
          <t>ID</t>
        </is>
      </c>
      <c r="B36" s="14" t="inlineStr">
        <is>
          <t>タスク名</t>
        </is>
      </c>
      <c r="C36" s="14" t="inlineStr">
        <is>
          <t>期限</t>
        </is>
      </c>
      <c r="D36" s="14" t="inlineStr">
        <is>
          <t>ステータス</t>
        </is>
      </c>
      <c r="E36" s="14" t="inlineStr">
        <is>
          <t>優先度</t>
        </is>
      </c>
      <c r="F36" s="14" t="inlineStr">
        <is>
          <t>メモ</t>
        </is>
      </c>
    </row>
    <row r="37">
      <c r="A37" s="15" t="inlineStr">
        <is>
          <t>S-04</t>
        </is>
      </c>
      <c r="B37" s="15" t="inlineStr">
        <is>
          <t>テレアポロープレ実施</t>
        </is>
      </c>
      <c r="C37" s="15" t="inlineStr">
        <is>
          <t>2026/3/28</t>
        </is>
      </c>
      <c r="D37" s="15" t="inlineStr">
        <is>
          <t>未着手</t>
        </is>
      </c>
      <c r="E37" s="16" t="inlineStr">
        <is>
          <t>高</t>
        </is>
      </c>
      <c r="F37" s="15" t="n"/>
    </row>
    <row r="38">
      <c r="A38" s="15" t="inlineStr">
        <is>
          <t>S-13</t>
        </is>
      </c>
      <c r="B38" s="15" t="inlineStr">
        <is>
          <t>掲載ページ作成</t>
        </is>
      </c>
      <c r="C38" s="15" t="inlineStr">
        <is>
          <t>2026/4/30</t>
        </is>
      </c>
      <c r="D38" s="15" t="inlineStr">
        <is>
          <t>未着手</t>
        </is>
      </c>
      <c r="E38" s="16" t="inlineStr">
        <is>
          <t>高</t>
        </is>
      </c>
      <c r="F38" s="15" t="n"/>
    </row>
    <row r="39">
      <c r="A39" s="15" t="inlineStr">
        <is>
          <t>S-14</t>
        </is>
      </c>
      <c r="B39" s="15" t="inlineStr">
        <is>
          <t>初回撮影（マーケ支援）</t>
        </is>
      </c>
      <c r="C39" s="15" t="inlineStr">
        <is>
          <t>2026/4/30</t>
        </is>
      </c>
      <c r="D39" s="15" t="inlineStr">
        <is>
          <t>未着手</t>
        </is>
      </c>
      <c r="E39" s="16" t="inlineStr">
        <is>
          <t>高</t>
        </is>
      </c>
      <c r="F39" s="15" t="n"/>
    </row>
    <row r="40">
      <c r="A40" s="15" t="inlineStr">
        <is>
          <t>S-15</t>
        </is>
      </c>
      <c r="B40" s="15" t="inlineStr">
        <is>
          <t>リリース最終準備</t>
        </is>
      </c>
      <c r="C40" s="15" t="inlineStr">
        <is>
          <t>2026/4/30</t>
        </is>
      </c>
      <c r="D40" s="15" t="inlineStr">
        <is>
          <t>未着手</t>
        </is>
      </c>
      <c r="E40" s="16" t="inlineStr">
        <is>
          <t>高</t>
        </is>
      </c>
      <c r="F40" s="15" t="n"/>
    </row>
  </sheetData>
  <mergeCells count="4">
    <mergeCell ref="A19:F19"/>
    <mergeCell ref="A1:F1"/>
    <mergeCell ref="A35:F35"/>
    <mergeCell ref="A29:F29"/>
  </mergeCells>
  <pageMargins left="0.75" right="0.75" top="1" bottom="1" header="0.5" footer="0.5"/>
</worksheet>
</file>

<file path=xl/worksheets/sheet14.xml><?xml version="1.0" encoding="utf-8"?>
<worksheet xmlns="http://schemas.openxmlformats.org/spreadsheetml/2006/main">
  <sheetPr>
    <tabColor rgb="0095A5A6"/>
    <outlinePr summaryBelow="1" summaryRight="1"/>
    <pageSetUpPr/>
  </sheetPr>
  <dimension ref="A1:C32"/>
  <sheetViews>
    <sheetView workbookViewId="0">
      <selection activeCell="A1" sqref="A1"/>
    </sheetView>
  </sheetViews>
  <sheetFormatPr baseColWidth="8" defaultRowHeight="15"/>
  <cols>
    <col width="22" customWidth="1" min="1" max="1"/>
    <col width="60" customWidth="1" min="2" max="2"/>
    <col width="25" customWidth="1" min="3" max="3"/>
  </cols>
  <sheetData>
    <row r="1">
      <c r="A1" s="1" t="inlineStr">
        <is>
          <t>payhome_sales_v2 使い方ガイド</t>
        </is>
      </c>
    </row>
    <row r="3">
      <c r="A3" s="14" t="inlineStr">
        <is>
          <t>シート名</t>
        </is>
      </c>
      <c r="B3" s="14" t="inlineStr">
        <is>
          <t>用途・使い方</t>
        </is>
      </c>
    </row>
    <row r="4" ht="40" customHeight="1">
      <c r="A4" s="15" t="inlineStr">
        <is>
          <t>ダッシュボード</t>
        </is>
      </c>
      <c r="B4" s="15" t="inlineStr">
        <is>
          <t>営業活動の全体像を一目で確認するシート。KPI、フェーズ、直近アクションを表示。数値は他シートから自動集計。</t>
        </is>
      </c>
    </row>
    <row r="5" ht="40" customHeight="1">
      <c r="A5" s="17" t="inlineStr">
        <is>
          <t>戦略概要</t>
        </is>
      </c>
      <c r="B5" s="17" t="inlineStr">
        <is>
          <t>事業の2本柱・フリープラン設計思想・競争優位性・収益シミュレーションの参照シート。社内共有や経営会議で使用。</t>
        </is>
      </c>
    </row>
    <row r="6" ht="40" customHeight="1">
      <c r="A6" s="15" t="inlineStr">
        <is>
          <t>料金プラン</t>
        </is>
      </c>
      <c r="B6" s="15" t="inlineStr">
        <is>
          <t>全プランの料金体系を一覧化。営業時の参照用。セット割引・単発メニューも記載。</t>
        </is>
      </c>
    </row>
    <row r="7" ht="40" customHeight="1">
      <c r="A7" s="17" t="inlineStr">
        <is>
          <t>テレアポ管理（鹿児島）</t>
        </is>
      </c>
      <c r="B7" s="17" t="inlineStr">
        <is>
          <t>鹿児島の工務店へのテレアポ進捗を管理。コール日・結果・資料送付・商談・申込をステータスで追跡。</t>
        </is>
      </c>
    </row>
    <row r="8" ht="40" customHeight="1">
      <c r="A8" s="15" t="inlineStr">
        <is>
          <t>テレアポ管理（全国）</t>
        </is>
      </c>
      <c r="B8" s="15" t="inlineStr">
        <is>
          <t>全国の工務店へのマーケティング支援の営業進捗を管理。</t>
        </is>
      </c>
    </row>
    <row r="9" ht="40" customHeight="1">
      <c r="A9" s="17" t="inlineStr">
        <is>
          <t>リードパイプライン</t>
        </is>
      </c>
      <c r="B9" s="17" t="inlineStr">
        <is>
          <t>全ての見込み客をステージ別に管理。確度A〜Dで優先順位を可視化。</t>
        </is>
      </c>
    </row>
    <row r="10" ht="40" customHeight="1">
      <c r="A10" s="15" t="inlineStr">
        <is>
          <t>タスク管理</t>
        </is>
      </c>
      <c r="B10" s="15" t="inlineStr">
        <is>
          <t>営業活動に関する全タスクを管理。担当者・優先度・期限・ステータスで進捗追跡。週次レビューで使用。</t>
        </is>
      </c>
    </row>
    <row r="11" ht="40" customHeight="1">
      <c r="A11" s="17" t="inlineStr">
        <is>
          <t>KPI管理</t>
        </is>
      </c>
      <c r="B11" s="17" t="inlineStr">
        <is>
          <t>月次・週次のKPIを記録。目標と実績を比較し、改善アクションを検討。</t>
        </is>
      </c>
    </row>
    <row r="12" ht="40" customHeight="1">
      <c r="A12" s="15" t="inlineStr">
        <is>
          <t>収益シミュレーション</t>
        </is>
      </c>
      <c r="B12" s="15" t="inlineStr">
        <is>
          <t>保守的・標準・楽観的の3シナリオで月次収益を予測。経営判断の参考に使用。</t>
        </is>
      </c>
    </row>
    <row r="13" ht="40" customHeight="1">
      <c r="A13" s="17" t="inlineStr">
        <is>
          <t>メールテンプレート</t>
        </is>
      </c>
      <c r="B13" s="17" t="inlineStr">
        <is>
          <t>営業メール8種のテンプレート。○○部分を書き換えて使用。</t>
        </is>
      </c>
    </row>
    <row r="14" ht="40" customHeight="1">
      <c r="A14" s="15" t="inlineStr">
        <is>
          <t>月次レポートテンプレート</t>
        </is>
      </c>
      <c r="B14" s="15" t="inlineStr">
        <is>
          <t>工務店に送付する月次レポートのフォーマット。</t>
        </is>
      </c>
    </row>
    <row r="15" ht="40" customHeight="1">
      <c r="A15" s="17" t="inlineStr">
        <is>
          <t>ガントチャート</t>
        </is>
      </c>
      <c r="B15" s="17" t="inlineStr">
        <is>
          <t>4月〜12月の営業タイムラインを週単位で可視化。マイルストーンを確認。</t>
        </is>
      </c>
    </row>
    <row r="16" ht="40" customHeight="1">
      <c r="A16" s="15" t="inlineStr">
        <is>
          <t>担当別Todo</t>
        </is>
      </c>
      <c r="B16" s="15" t="inlineStr">
        <is>
          <t>各メンバーのタスクを一覧表示。週次ミーティングで進捗確認に使用。</t>
        </is>
      </c>
    </row>
    <row r="19">
      <c r="A19" s="8" t="inlineStr">
        <is>
          <t>ステータスの定義</t>
        </is>
      </c>
    </row>
    <row r="20">
      <c r="A20" s="14" t="inlineStr">
        <is>
          <t>ステータス</t>
        </is>
      </c>
      <c r="B20" s="14" t="inlineStr">
        <is>
          <t>意味</t>
        </is>
      </c>
      <c r="C20" s="14" t="inlineStr">
        <is>
          <t>使用シート</t>
        </is>
      </c>
    </row>
    <row r="21">
      <c r="A21" s="15" t="inlineStr">
        <is>
          <t>未着手</t>
        </is>
      </c>
      <c r="B21" s="15" t="inlineStr">
        <is>
          <t>手をつけていない</t>
        </is>
      </c>
      <c r="C21" s="15" t="inlineStr">
        <is>
          <t>—</t>
        </is>
      </c>
    </row>
    <row r="22">
      <c r="A22" s="17" t="inlineStr">
        <is>
          <t>未コール</t>
        </is>
      </c>
      <c r="B22" s="17" t="inlineStr">
        <is>
          <t>まだ電話をしていない</t>
        </is>
      </c>
      <c r="C22" s="17" t="inlineStr">
        <is>
          <t>テレアポ管理シート</t>
        </is>
      </c>
    </row>
    <row r="23">
      <c r="A23" s="15" t="inlineStr">
        <is>
          <t>コール済み</t>
        </is>
      </c>
      <c r="B23" s="15" t="inlineStr">
        <is>
          <t>電話したが資料送付に至らず</t>
        </is>
      </c>
      <c r="C23" s="15" t="inlineStr">
        <is>
          <t>テレアポ管理シート</t>
        </is>
      </c>
    </row>
    <row r="24">
      <c r="A24" s="17" t="inlineStr">
        <is>
          <t>資料送付済み</t>
        </is>
      </c>
      <c r="B24" s="17" t="inlineStr">
        <is>
          <t>資料を送付した</t>
        </is>
      </c>
      <c r="C24" s="17" t="inlineStr">
        <is>
          <t>テレアポ管理シート</t>
        </is>
      </c>
    </row>
    <row r="25">
      <c r="A25" s="15" t="inlineStr">
        <is>
          <t>商談調整中</t>
        </is>
      </c>
      <c r="B25" s="15" t="inlineStr">
        <is>
          <t>商談日程を調整中</t>
        </is>
      </c>
      <c r="C25" s="15" t="inlineStr">
        <is>
          <t>テレアポ・パイプライン</t>
        </is>
      </c>
    </row>
    <row r="26">
      <c r="A26" s="17" t="inlineStr">
        <is>
          <t>商談済み</t>
        </is>
      </c>
      <c r="B26" s="17" t="inlineStr">
        <is>
          <t>商談を実施した</t>
        </is>
      </c>
      <c r="C26" s="17" t="inlineStr">
        <is>
          <t>テレアポ・パイプライン</t>
        </is>
      </c>
    </row>
    <row r="27">
      <c r="A27" s="15" t="inlineStr">
        <is>
          <t>申込済み/契約済み</t>
        </is>
      </c>
      <c r="B27" s="15" t="inlineStr">
        <is>
          <t>申込または契約が完了</t>
        </is>
      </c>
      <c r="C27" s="15" t="inlineStr">
        <is>
          <t>テレアポ・パイプライン</t>
        </is>
      </c>
    </row>
    <row r="28">
      <c r="A28" s="17" t="inlineStr">
        <is>
          <t>見送り</t>
        </is>
      </c>
      <c r="B28" s="17" t="inlineStr">
        <is>
          <t>今回は見送り</t>
        </is>
      </c>
      <c r="C28" s="17" t="inlineStr">
        <is>
          <t>テレアポ・パイプライン</t>
        </is>
      </c>
    </row>
    <row r="29">
      <c r="A29" s="15" t="inlineStr">
        <is>
          <t>進行中</t>
        </is>
      </c>
      <c r="B29" s="15" t="inlineStr">
        <is>
          <t>作業中</t>
        </is>
      </c>
      <c r="C29" s="15" t="inlineStr">
        <is>
          <t>タスク管理</t>
        </is>
      </c>
    </row>
    <row r="30">
      <c r="A30" s="17" t="inlineStr">
        <is>
          <t>確認中</t>
        </is>
      </c>
      <c r="B30" s="17" t="inlineStr">
        <is>
          <t>成果物のレビュー待ち</t>
        </is>
      </c>
      <c r="C30" s="17" t="inlineStr">
        <is>
          <t>タスク管理</t>
        </is>
      </c>
    </row>
    <row r="31">
      <c r="A31" s="15" t="inlineStr">
        <is>
          <t>完了</t>
        </is>
      </c>
      <c r="B31" s="15" t="inlineStr">
        <is>
          <t>完了</t>
        </is>
      </c>
      <c r="C31" s="15" t="inlineStr">
        <is>
          <t>タスク管理</t>
        </is>
      </c>
    </row>
    <row r="32">
      <c r="A32" s="17" t="inlineStr">
        <is>
          <t>保留</t>
        </is>
      </c>
      <c r="B32" s="17" t="inlineStr">
        <is>
          <t>他タスクの完了待ち</t>
        </is>
      </c>
      <c r="C32" s="17" t="inlineStr">
        <is>
          <t>タスク管理</t>
        </is>
      </c>
    </row>
  </sheetData>
  <mergeCells count="2">
    <mergeCell ref="A1:C1"/>
    <mergeCell ref="A19:C19"/>
  </mergeCells>
  <pageMargins left="0.75" right="0.75" top="1" bottom="1" header="0.5" footer="0.5"/>
</worksheet>
</file>

<file path=xl/worksheets/sheet15.xml><?xml version="1.0" encoding="utf-8"?>
<worksheet xmlns="http://schemas.openxmlformats.org/spreadsheetml/2006/main">
  <sheetPr>
    <tabColor rgb="001ABC9C"/>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35" customWidth="1" min="3" max="3"/>
    <col width="80" customWidth="1" min="4" max="4"/>
    <col width="15" customWidth="1" min="5" max="5"/>
    <col width="12" customWidth="1" min="6" max="6"/>
  </cols>
  <sheetData>
    <row r="1" ht="30" customHeight="1">
      <c r="A1" s="41" t="inlineStr">
        <is>
          <t>テンプレート名</t>
        </is>
      </c>
      <c r="B1" s="41" t="inlineStr">
        <is>
          <t>配信タイミング</t>
        </is>
      </c>
      <c r="C1" s="41" t="inlineStr">
        <is>
          <t>件名</t>
        </is>
      </c>
      <c r="D1" s="41" t="inlineStr">
        <is>
          <t>本文</t>
        </is>
      </c>
      <c r="E1" s="41" t="inlineStr">
        <is>
          <t>目的</t>
        </is>
      </c>
      <c r="F1" s="41" t="inlineStr">
        <is>
          <t>配信方法</t>
        </is>
      </c>
    </row>
    <row r="2" ht="400" customHeight="1">
      <c r="A2" s="42" t="inlineStr">
        <is>
          <t>お問い合わせ確認メール</t>
        </is>
      </c>
      <c r="B2" s="42" t="inlineStr">
        <is>
          <t>リード発生直後</t>
        </is>
      </c>
      <c r="C2" s="42" t="inlineStr">
        <is>
          <t>【ぺいほーむ】お問い合わせありがとうございます</t>
        </is>
      </c>
      <c r="D2" s="42" t="inlineStr">
        <is>
          <t>○○様
ぺいほーむへのお問い合わせ、ありがとうございます。
ご依頼いただきました○○について、
○○工務店様にお取り次ぎいたしました。
○○工務店様より、1〜2営業日以内に
ご連絡がございますので、少々お待ちください。
ぺいほーむでは、お客様の家づくりを
最後までサポートいたします。
ご質問やご不安なことがございましたら、
いつでもお気軽にご相談ください。
AIチャットでも24時間ご相談いただけます。
https://payhome.jp
━━━━━━━━━━━━━━━
ぺいほーむ（株式会社wazeka）
Email: support@payhome.jp
━━━━━━━━━━━━━━━
※このメールにお心当たりのない場合は、
お手数ですがこのメールを削除してください。
※配信停止をご希望の場合は、以下のURLからお手続きください。
https://payhome.jp/unsubscribe?id=XXXX</t>
        </is>
      </c>
      <c r="E2" s="42" t="inlineStr">
        <is>
          <t>関係の起点</t>
        </is>
      </c>
      <c r="F2" s="42" t="inlineStr">
        <is>
          <t>自動送信</t>
        </is>
      </c>
    </row>
    <row r="3" ht="400" customHeight="1">
      <c r="A3" s="43" t="inlineStr">
        <is>
          <t>対応確認メール</t>
        </is>
      </c>
      <c r="B3" s="43" t="inlineStr">
        <is>
          <t>3日後</t>
        </is>
      </c>
      <c r="C3" s="43" t="inlineStr">
        <is>
          <t>【ぺいほーむ】○○工務店様からご連絡はありましたか？</t>
        </is>
      </c>
      <c r="D3" s="43" t="inlineStr">
        <is>
          <t>○○様
ぺいほーむです。
先日のお問い合わせ、ありがとうございました。
○○工務店様からご連絡はございましたか？
もしまだ連絡がない場合は、
こちらから○○工務店様に確認いたしますので、
このメールにご返信ください。
また、他にも気になる工務店がございましたら、
ぺいほーむで検索・比較いただけます。
https://payhome.jp
引き続き、家づくりのお手伝いをさせてください。
━━━━━━━━━━━━━━━
ぺいほーむ（株式会社wazeka）
━━━━━━━━━━━━━━━
※配信停止をご希望の場合は、以下のURLからお手続きください。
https://payhome.jp/unsubscribe?id=XXXX</t>
        </is>
      </c>
      <c r="E3" s="43" t="inlineStr">
        <is>
          <t>工務店対応確認</t>
        </is>
      </c>
      <c r="F3" s="43" t="inlineStr">
        <is>
          <t>自動送信</t>
        </is>
      </c>
    </row>
    <row r="4" ht="400" customHeight="1">
      <c r="A4" s="42" t="inlineStr">
        <is>
          <t>進捗確認メール</t>
        </is>
      </c>
      <c r="B4" s="42" t="inlineStr">
        <is>
          <t>1週間後</t>
        </is>
      </c>
      <c r="C4" s="42" t="inlineStr">
        <is>
          <t>【ぺいほーむ】家づくりの進捗はいかがですか？</t>
        </is>
      </c>
      <c r="D4" s="42" t="inlineStr">
        <is>
          <t>○○様
ぺいほーむです。
家づくりのご検討は進んでいますか？
○○工務店様との打ち合わせのご予定は
決まりましたでしょうか？
家づくりを進める中で、
こんなお悩みはありませんか？
・複数の工務店を比較したい
・平屋の間取りの参考事例を見たい
・住宅ローンのシミュレーションをしたい
・平屋の価格相場を知りたい
ぺいほーむでは、これらの情報を
無料でご提供しています。
▼ 平屋のルームツアー動画を見る
https://youtube.com/@payhome
▼ 住宅ローンシミュレーター
https://payhome.jp/simulator
▼ AIチャットで相談する
https://payhome.jp
お気軽にご利用ください。
━━━━━━━━━━━━━━━
ぺいほーむ（株式会社wazeka）
━━━━━━━━━━━━━━━
※配信停止をご希望の場合は、以下のURLからお手続きください。
https://payhome.jp/unsubscribe?id=XXXX</t>
        </is>
      </c>
      <c r="E4" s="42" t="inlineStr">
        <is>
          <t>進捗確認</t>
        </is>
      </c>
      <c r="F4" s="42" t="inlineStr">
        <is>
          <t>自動送信</t>
        </is>
      </c>
    </row>
    <row r="5" ht="400" customHeight="1">
      <c r="A5" s="43" t="inlineStr">
        <is>
          <t>追加提案メール</t>
        </is>
      </c>
      <c r="B5" s="43" t="inlineStr">
        <is>
          <t>2週間後</t>
        </is>
      </c>
      <c r="C5" s="43" t="inlineStr">
        <is>
          <t>【ぺいほーむ】他にも気になる工務店はありますか？</t>
        </is>
      </c>
      <c r="D5" s="43" t="inlineStr">
        <is>
          <t>○○様
ぺいほーむです。
家づくりのご検討、お疲れさまです。
平屋を建てる際、
多くの方が2〜3社を比較検討されています。
もし他にも気になる工務店がございましたら、
ぺいほーむで簡単に比較いただけます。
▼ 鹿児島の平屋が得意な工務店一覧
https://payhome.jp/builders
▼ AIに相談して自分に合う工務店を見つける
https://payhome.jp
ご不明点がございましたら、
いつでもお気軽にご相談ください。
━━━━━━━━━━━━━━━
ぺいほーむ（株式会社wazeka）
━━━━━━━━━━━━━━━
※配信停止をご希望の場合は、以下のURLからお手続きください。
https://payhome.jp/unsubscribe?id=XXXX</t>
        </is>
      </c>
      <c r="E5" s="43" t="inlineStr">
        <is>
          <t>追加紹介</t>
        </is>
      </c>
      <c r="F5" s="43" t="inlineStr">
        <is>
          <t>自動送信</t>
        </is>
      </c>
    </row>
    <row r="6" ht="400" customHeight="1">
      <c r="A6" s="42" t="inlineStr">
        <is>
          <t>ステータス確認①メール</t>
        </is>
      </c>
      <c r="B6" s="42" t="inlineStr">
        <is>
          <t>1ヶ月後</t>
        </is>
      </c>
      <c r="C6" s="42" t="inlineStr">
        <is>
          <t>【ぺいほーむ】家づくりの進捗を教えてください</t>
        </is>
      </c>
      <c r="D6" s="42" t="inlineStr">
        <is>
          <t>○○様
ぺいほーむです。
お問い合わせから1ヶ月が経ちました。
家づくりの状況はいかがですか？
1分で回答できるアンケートにご協力ください。
▼ 現在の状況を教えてください（1分で完了）
https://payhome.jp/survey?id=XXXX
お答えいただいた内容に合わせて、
お役に立てる情報をお届けいたします。
━━━━━━━━━━━━━━━
ぺいほーむ（株式会社wazeka）
━━━━━━━━━━━━━━━
※配信停止をご希望の場合は、以下のURLからお手続きください。
https://payhome.jp/unsubscribe?id=XXXX</t>
        </is>
      </c>
      <c r="E6" s="42" t="inlineStr">
        <is>
          <t>ステータス確認</t>
        </is>
      </c>
      <c r="F6" s="42" t="inlineStr">
        <is>
          <t>自動送信</t>
        </is>
      </c>
    </row>
    <row r="7" ht="400" customHeight="1">
      <c r="A7" s="43" t="inlineStr">
        <is>
          <t>ステータス確認②メール</t>
        </is>
      </c>
      <c r="B7" s="43" t="inlineStr">
        <is>
          <t>2ヶ月後</t>
        </is>
      </c>
      <c r="C7" s="43" t="inlineStr">
        <is>
          <t>【ぺいほーむ】間取りや見積もりは進んでいますか？</t>
        </is>
      </c>
      <c r="D7" s="43" t="inlineStr">
        <is>
          <t>○○様
ぺいほーむです。
間取りや見積もりのご検討は
進んでいらっしゃいますか？
この時期に多い疑問をまとめました。
■ 見積もりの比較ポイント
・坪単価だけでなく、付帯工事費も含めた総額で比較
・地盤改良費は見積もりに含まれているか確認
・アフターメンテナンスの条件も比較対象に
■ 平屋の間取りで後悔しないポイント
・家事動線は回遊できるか
・収納は十分か（壁面積が2階建てより少ない）
・将来の生活変化に対応できるか
▼ もっと詳しく知りたい方はAIに相談
https://payhome.jp
━━━━━━━━━━━━━━━
ぺいほーむ（株式会社wazeka）
━━━━━━━━━━━━━━━
※配信停止をご希望の場合は、以下のURLからお手続きください。
https://payhome.jp/unsubscribe?id=XXXX</t>
        </is>
      </c>
      <c r="E7" s="43" t="inlineStr">
        <is>
          <t>ステータス確認</t>
        </is>
      </c>
      <c r="F7" s="43" t="inlineStr">
        <is>
          <t>自動送信</t>
        </is>
      </c>
    </row>
    <row r="8" ht="400" customHeight="1">
      <c r="A8" s="42" t="inlineStr">
        <is>
          <t>成約確認メール</t>
        </is>
      </c>
      <c r="B8" s="42" t="inlineStr">
        <is>
          <t>3ヶ月後</t>
        </is>
      </c>
      <c r="C8" s="42" t="inlineStr">
        <is>
          <t>【ぺいほーむ】ご契約は決まりましたか？</t>
        </is>
      </c>
      <c r="D8" s="42" t="inlineStr">
        <is>
          <t>○○様
ぺいほーむです。
お問い合わせから3ヶ月が経ちました。
家づくりの状況はいかがですか？
▼ 現在の状況を教えてください（1分で完了）
https://payhome.jp/survey?id=XXXX
□ まだ検討中です
□ 工務店と打ち合わせ中です
□ 契約しました！
□ 今回は見送りました
ご契約された方には、
家づくりをもっと楽しむための情報を
引き続きお届けいたします。
まだご検討中の方には、
追加のご提案をさせていただきます。
いつでもお気軽にご相談ください。
━━━━━━━━━━━━━━━
ぺいほーむ（株式会社wazeka）
━━━━━━━━━━━━━━━
※配信停止をご希望の場合は、以下のURLからお手続きください。
https://payhome.jp/unsubscribe?id=XXXX</t>
        </is>
      </c>
      <c r="E8" s="42" t="inlineStr">
        <is>
          <t>成約確認</t>
        </is>
      </c>
      <c r="F8" s="42" t="inlineStr">
        <is>
          <t>自動送信</t>
        </is>
      </c>
    </row>
    <row r="9" ht="400" customHeight="1">
      <c r="A9" s="43" t="inlineStr">
        <is>
          <t>長期フォローメール</t>
        </is>
      </c>
      <c r="B9" s="43" t="inlineStr">
        <is>
          <t>6ヶ月後</t>
        </is>
      </c>
      <c r="C9" s="43" t="inlineStr">
        <is>
          <t>【ぺいほーむ】工事の進捗はいかがですか？</t>
        </is>
      </c>
      <c r="D9" s="43" t="inlineStr">
        <is>
          <t>○○様
ぺいほーむです。
新しいお住まいの工事は順調に進んでいますか？
完成が近づくと、
家具やインテリアの準備も気になりますよね。
ぺいほーむでは、平屋の暮らしに役立つ情報を
YouTubeやSNSで発信しています。
▼ 平屋のルームツアー動画
https://youtube.com/@payhome
完成後、もしよろしければ
お住まいの感想を聞かせてください。
━━━━━━━━━━━━━━━
ぺいほーむ（株式会社wazeka）
━━━━━━━━━━━━━━━
※配信停止をご希望の場合は、以下のURLからお手続きください。
https://payhome.jp/unsubscribe?id=XXXX</t>
        </is>
      </c>
      <c r="E9" s="43" t="inlineStr">
        <is>
          <t>長期フォロー</t>
        </is>
      </c>
      <c r="F9" s="43" t="inlineStr">
        <is>
          <t>自動送信</t>
        </is>
      </c>
    </row>
    <row r="10" ht="400" customHeight="1">
      <c r="A10" s="42" t="inlineStr">
        <is>
          <t>入居後フォローメール</t>
        </is>
      </c>
      <c r="B10" s="42" t="inlineStr">
        <is>
          <t>12ヶ月後</t>
        </is>
      </c>
      <c r="C10" s="42" t="inlineStr">
        <is>
          <t>【ぺいほーむ】新居での暮らしはいかがですか？</t>
        </is>
      </c>
      <c r="D10" s="42" t="inlineStr">
        <is>
          <t>○○様
ぺいほーむです。
新居での暮らしはいかがですか？
平屋の暮らしの感想を
ぜひ聞かせていただけませんか？
▼ 暮らしのアンケート（3分で完了）
https://payhome.jp/review?id=XXXX
いただいた感想は、
これから平屋を検討される方の
参考にさせていただきます。
また、お知り合いの方で
平屋を検討されている方がいらっしゃいましたら、
ぜひぺいほーむをご紹介ください。
https://payhome.jp
引き続き、快適な暮らしをお過ごしください。
━━━━━━━━━━━━━━━
ぺいほーむ（株式会社wazeka）
━━━━━━━━━━━━━━━
※配信停止をご希望の場合は、以下のURLからお手続きください。
https://payhome.jp/unsubscribe?id=XXXX</t>
        </is>
      </c>
      <c r="E10" s="42" t="inlineStr">
        <is>
          <t>口コミ・紹介</t>
        </is>
      </c>
      <c r="F10" s="42" t="inlineStr">
        <is>
          <t>自動送信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2026-03-24T06:02:08Z</dcterms:created>
  <dcterms:modified xmlns:dcterms="http://purl.org/dc/terms/" xmlns:xsi="http://www.w3.org/2001/XMLSchema-instance" xsi:type="dcterms:W3CDTF">2026-03-24T07:16:26Z</dcterms:modified>
</cp:coreProperties>
</file>