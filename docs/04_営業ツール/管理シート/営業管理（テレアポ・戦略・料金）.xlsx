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戦略概要" sheetId="2" state="visible" r:id="rId2"/>
    <sheet xmlns:r="http://schemas.openxmlformats.org/officeDocument/2006/relationships" name="料金プラン" sheetId="3" state="visible" r:id="rId3"/>
    <sheet xmlns:r="http://schemas.openxmlformats.org/officeDocument/2006/relationships" name="テレアポ管理（鹿児島）" sheetId="4" state="visible" r:id="rId4"/>
    <sheet xmlns:r="http://schemas.openxmlformats.org/officeDocument/2006/relationships" name="テレアポ管理（全国）" sheetId="5" state="visible" r:id="rId5"/>
    <sheet xmlns:r="http://schemas.openxmlformats.org/officeDocument/2006/relationships" name="リードパイプライン" sheetId="6" state="visible" r:id="rId6"/>
    <sheet xmlns:r="http://schemas.openxmlformats.org/officeDocument/2006/relationships" name="タスク管理" sheetId="7" state="visible" r:id="rId7"/>
    <sheet xmlns:r="http://schemas.openxmlformats.org/officeDocument/2006/relationships" name="KPI管理" sheetId="8" state="visible" r:id="rId8"/>
    <sheet xmlns:r="http://schemas.openxmlformats.org/officeDocument/2006/relationships" name="収益シミュレーション" sheetId="9" state="visible" r:id="rId9"/>
    <sheet xmlns:r="http://schemas.openxmlformats.org/officeDocument/2006/relationships" name="メールテンプレート" sheetId="10" state="visible" r:id="rId10"/>
    <sheet xmlns:r="http://schemas.openxmlformats.org/officeDocument/2006/relationships" name="月次レポートテンプレート" sheetId="11" state="visible" r:id="rId11"/>
    <sheet xmlns:r="http://schemas.openxmlformats.org/officeDocument/2006/relationships" name="ガントチャート" sheetId="12" state="visible" r:id="rId12"/>
    <sheet xmlns:r="http://schemas.openxmlformats.org/officeDocument/2006/relationships" name="担当別Todo" sheetId="13" state="visible" r:id="rId13"/>
    <sheet xmlns:r="http://schemas.openxmlformats.org/officeDocument/2006/relationships" name="使い方ガイド" sheetId="14" state="visible" r:id="rId14"/>
    <sheet xmlns:r="http://schemas.openxmlformats.org/officeDocument/2006/relationships" name="消費者フォローメール" sheetId="15" state="visible" r:id="rId15"/>
    <sheet xmlns:r="http://schemas.openxmlformats.org/officeDocument/2006/relationships" name="成約追跡" sheetId="16" state="visible" r:id="rId16"/>
    <sheet xmlns:r="http://schemas.openxmlformats.org/officeDocument/2006/relationships" name="有料化管理" sheetId="17" state="visible" r:id="rId17"/>
  </sheets>
  <definedNames>
    <definedName name="_xlnm._FilterDatabase" localSheetId="3" hidden="1">'テレアポ管理（鹿児島）'!$A$1:$V$101</definedName>
    <definedName name="_xlnm._FilterDatabase" localSheetId="4" hidden="1">'テレアポ管理（全国）'!$A$1:$X$100</definedName>
    <definedName name="_xlnm._FilterDatabase" localSheetId="5" hidden="1">'リードパイプライン'!$A$1:$M$100</definedName>
    <definedName name="_xlnm._FilterDatabase" localSheetId="6" hidden="1">'タスク管理'!$A$1:$L$100</definedName>
  </definedNames>
  <calcPr calcId="124519" fullCalcOnLoad="1"/>
</workbook>
</file>

<file path=xl/styles.xml><?xml version="1.0" encoding="utf-8"?>
<styleSheet xmlns="http://schemas.openxmlformats.org/spreadsheetml/2006/main">
  <numFmts count="1">
    <numFmt numFmtId="164" formatCode="yyyy/mm/dd"/>
  </numFmts>
  <fonts count="14">
    <font>
      <name val="Calibri"/>
      <family val="2"/>
      <color theme="1"/>
      <sz val="11"/>
      <scheme val="minor"/>
    </font>
    <font>
      <name val="Arial"/>
      <b val="1"/>
      <color rgb="002E4057"/>
      <sz val="18"/>
    </font>
    <font>
      <name val="Arial"/>
      <color rgb="00666666"/>
      <sz val="9"/>
    </font>
    <font>
      <name val="Arial"/>
      <b val="1"/>
      <color rgb="002E4057"/>
      <sz val="20"/>
    </font>
    <font>
      <name val="Arial"/>
      <color rgb="00999999"/>
      <sz val="8"/>
    </font>
    <font>
      <name val="Arial"/>
      <b val="1"/>
      <color rgb="00E8740C"/>
      <sz val="14"/>
    </font>
    <font>
      <name val="Arial"/>
      <b val="1"/>
      <color rgb="002E4057"/>
      <sz val="11"/>
    </font>
    <font>
      <name val="Arial"/>
      <sz val="9"/>
    </font>
    <font>
      <name val="Arial"/>
      <b val="1"/>
      <color rgb="00FFFFFF"/>
      <sz val="11"/>
    </font>
    <font>
      <name val="Arial"/>
      <sz val="10"/>
    </font>
    <font>
      <name val="Arial"/>
      <b val="1"/>
      <sz val="10"/>
    </font>
    <font>
      <name val="Arial"/>
      <b val="1"/>
      <color rgb="00FFFFFF"/>
      <sz val="12"/>
    </font>
    <font>
      <name val="Arial"/>
      <color rgb="00FFFFFF"/>
      <sz val="7"/>
    </font>
    <font>
      <name val="Arial"/>
      <b val="1"/>
      <color rgb="00FFFFFF"/>
      <sz val="10"/>
    </font>
  </fonts>
  <fills count="12">
    <fill>
      <patternFill/>
    </fill>
    <fill>
      <patternFill patternType="gray125"/>
    </fill>
    <fill>
      <patternFill patternType="solid">
        <fgColor rgb="00FFF3E6"/>
      </patternFill>
    </fill>
    <fill>
      <patternFill patternType="solid">
        <fgColor rgb="00D6EAF8"/>
      </patternFill>
    </fill>
    <fill>
      <patternFill patternType="solid">
        <fgColor rgb="00D5F5E3"/>
      </patternFill>
    </fill>
    <fill>
      <patternFill patternType="solid">
        <fgColor rgb="00FEF9E7"/>
      </patternFill>
    </fill>
    <fill>
      <patternFill patternType="solid">
        <fgColor rgb="00E8740C"/>
      </patternFill>
    </fill>
    <fill>
      <patternFill patternType="solid">
        <fgColor rgb="002E4057"/>
      </patternFill>
    </fill>
    <fill>
      <patternFill patternType="solid">
        <fgColor rgb="00FADBD8"/>
      </patternFill>
    </fill>
    <fill>
      <patternFill patternType="solid">
        <fgColor rgb="00F8F9FA"/>
      </patternFill>
    </fill>
    <fill>
      <patternFill patternType="solid">
        <fgColor rgb="002E4057"/>
        <bgColor rgb="002E4057"/>
      </patternFill>
    </fill>
    <fill>
      <patternFill patternType="solid">
        <fgColor rgb="00F8F9FA"/>
        <bgColor rgb="00F8F9FA"/>
      </patternFill>
    </fill>
  </fills>
  <borders count="7">
    <border>
      <left/>
      <right/>
      <top/>
      <bottom/>
      <diagonal/>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style="thin">
        <color rgb="00D5D8DC"/>
      </right>
      <top style="thin">
        <color rgb="00D5D8DC"/>
      </top>
      <bottom style="thin">
        <color rgb="00D5D8DC"/>
      </bottom>
      <diagonal/>
    </border>
    <border>
      <left/>
      <right/>
      <top style="thin">
        <color rgb="00D5D8DC"/>
      </top>
      <bottom style="thin">
        <color rgb="00D5D8DC"/>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pivotButton="0" quotePrefix="0" xfId="0"/>
    <xf numFmtId="0" fontId="6"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1" applyAlignment="1" pivotButton="0" quotePrefix="0" xfId="0">
      <alignment vertical="top" wrapText="1"/>
    </xf>
    <xf numFmtId="0" fontId="9" fillId="8" borderId="1" applyAlignment="1" pivotButton="0" quotePrefix="0" xfId="0">
      <alignment vertical="top" wrapText="1"/>
    </xf>
    <xf numFmtId="0" fontId="9" fillId="9" borderId="1" applyAlignment="1" pivotButton="0" quotePrefix="0" xfId="0">
      <alignment vertical="top" wrapText="1"/>
    </xf>
    <xf numFmtId="0" fontId="5" fillId="2" borderId="0" pivotButton="0" quotePrefix="0" xfId="0"/>
    <xf numFmtId="0" fontId="10" fillId="0" borderId="1" pivotButton="0" quotePrefix="0" xfId="0"/>
    <xf numFmtId="3" fontId="9" fillId="0" borderId="1" applyAlignment="1" pivotButton="0" quotePrefix="0" xfId="0">
      <alignment vertical="top" wrapText="1"/>
    </xf>
    <xf numFmtId="3" fontId="9" fillId="9" borderId="1" applyAlignment="1" pivotButton="0" quotePrefix="0" xfId="0">
      <alignment vertical="top" wrapText="1"/>
    </xf>
    <xf numFmtId="0" fontId="9" fillId="4" borderId="1" applyAlignment="1" pivotButton="0" quotePrefix="0" xfId="0">
      <alignment vertical="top" wrapText="1"/>
    </xf>
    <xf numFmtId="0" fontId="10" fillId="5" borderId="1" pivotButton="0" quotePrefix="0" xfId="0"/>
    <xf numFmtId="0" fontId="5" fillId="8" borderId="0" pivotButton="0" quotePrefix="0" xfId="0"/>
    <xf numFmtId="3" fontId="10" fillId="0" borderId="1" pivotButton="0" quotePrefix="0" xfId="0"/>
    <xf numFmtId="0" fontId="5" fillId="4" borderId="0" pivotButton="0" quotePrefix="0" xfId="0"/>
    <xf numFmtId="0" fontId="5" fillId="3" borderId="0" pivotButton="0" quotePrefix="0" xfId="0"/>
    <xf numFmtId="0" fontId="10" fillId="0" borderId="1" applyAlignment="1" pivotButton="0" quotePrefix="0" xfId="0">
      <alignment vertical="top" wrapText="1"/>
    </xf>
    <xf numFmtId="0" fontId="0" fillId="0" borderId="1" applyAlignment="1" pivotButton="0" quotePrefix="0" xfId="0">
      <alignment vertical="top" wrapText="1"/>
    </xf>
    <xf numFmtId="0" fontId="11" fillId="7" borderId="1" pivotButton="0" quotePrefix="0" xfId="0"/>
    <xf numFmtId="0" fontId="9" fillId="0" borderId="1" pivotButton="0" quotePrefix="0" xfId="0"/>
    <xf numFmtId="0" fontId="12" fillId="7" borderId="1" applyAlignment="1" pivotButton="0" quotePrefix="0" xfId="0">
      <alignment horizontal="center" vertical="center" wrapText="1"/>
    </xf>
    <xf numFmtId="0" fontId="0" fillId="5" borderId="1" pivotButton="0" quotePrefix="0" xfId="0"/>
    <xf numFmtId="0" fontId="0" fillId="4" borderId="1" pivotButton="0" quotePrefix="0" xfId="0"/>
    <xf numFmtId="0" fontId="0" fillId="3" borderId="1" pivotButton="0" quotePrefix="0" xfId="0"/>
    <xf numFmtId="0" fontId="0" fillId="8" borderId="1" pivotButton="0" quotePrefix="0" xfId="0"/>
    <xf numFmtId="0" fontId="0" fillId="2" borderId="1" pivotButton="0" quotePrefix="0" xfId="0"/>
    <xf numFmtId="0" fontId="0" fillId="6" borderId="1" pivotButton="0" quotePrefix="0" xfId="0"/>
    <xf numFmtId="0" fontId="0" fillId="0" borderId="4" pivotButton="0" quotePrefix="0" xfId="0"/>
    <xf numFmtId="0" fontId="0" fillId="0" borderId="5" pivotButton="0" quotePrefix="0" xfId="0"/>
    <xf numFmtId="0" fontId="8" fillId="7" borderId="6" applyAlignment="1" pivotButton="0" quotePrefix="0" xfId="0">
      <alignment vertical="center" wrapText="1"/>
    </xf>
    <xf numFmtId="0" fontId="9" fillId="0" borderId="6" applyAlignment="1" pivotButton="0" quotePrefix="0" xfId="0">
      <alignment vertical="top" wrapText="1"/>
    </xf>
    <xf numFmtId="0" fontId="9" fillId="9" borderId="6" applyAlignment="1" pivotButton="0" quotePrefix="0" xfId="0">
      <alignment vertical="top" wrapText="1"/>
    </xf>
    <xf numFmtId="0" fontId="13" fillId="10" borderId="1" applyAlignment="1" pivotButton="0" quotePrefix="0" xfId="0">
      <alignment horizontal="center" vertical="center" wrapText="1"/>
    </xf>
    <xf numFmtId="0" fontId="9" fillId="0" borderId="1" applyAlignment="1" pivotButton="0" quotePrefix="0" xfId="0">
      <alignment vertical="center" wrapText="1"/>
    </xf>
    <xf numFmtId="3" fontId="9" fillId="0" borderId="1" applyAlignment="1" pivotButton="0" quotePrefix="0" xfId="0">
      <alignment vertical="center" wrapText="1"/>
    </xf>
    <xf numFmtId="0" fontId="9" fillId="11" borderId="1" applyAlignment="1" pivotButton="0" quotePrefix="0" xfId="0">
      <alignment vertical="center" wrapText="1"/>
    </xf>
    <xf numFmtId="3" fontId="9" fillId="11" borderId="1" applyAlignment="1" pivotButton="0" quotePrefix="0" xfId="0">
      <alignment vertical="center" wrapText="1"/>
    </xf>
    <xf numFmtId="164" fontId="9" fillId="0" borderId="1" applyAlignment="1" pivotButton="0" quotePrefix="0" xfId="0">
      <alignment vertical="center" wrapText="1"/>
    </xf>
    <xf numFmtId="164" fontId="9" fillId="11"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40C"/>
    <outlinePr summaryBelow="1" summaryRight="1"/>
    <pageSetUpPr/>
  </sheetPr>
  <dimension ref="A1:J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0" customHeight="1">
      <c r="A1" s="1" t="inlineStr">
        <is>
          <t>ぺいほーむ 営業ダッシュボード</t>
        </is>
      </c>
    </row>
    <row r="3">
      <c r="A3" s="2" t="inlineStr">
        <is>
          <t>PF掲載
申込社数</t>
        </is>
      </c>
      <c r="B3" s="2" t="inlineStr">
        <is>
          <t>マーケ支援
契約社数</t>
        </is>
      </c>
      <c r="C3" s="3" t="inlineStr">
        <is>
          <t>今月売上</t>
        </is>
      </c>
      <c r="D3" s="3" t="inlineStr">
        <is>
          <t>累計売上</t>
        </is>
      </c>
      <c r="E3" s="4" t="inlineStr">
        <is>
          <t>テレアポ
累計</t>
        </is>
      </c>
      <c r="F3" s="4" t="inlineStr">
        <is>
          <t>商談数</t>
        </is>
      </c>
      <c r="G3" s="4" t="inlineStr">
        <is>
          <t>タスク
完了率</t>
        </is>
      </c>
    </row>
    <row r="4">
      <c r="A4" s="5">
        <f>COUNTIFS('テレアポ管理（鹿児島）'!T2:T100,"申込済み")</f>
        <v/>
      </c>
      <c r="B4" s="5">
        <f>COUNTIFS('テレアポ管理（全国）'!U2:U100,"契約済み")</f>
        <v/>
      </c>
      <c r="C4" s="5" t="n"/>
      <c r="D4" s="5" t="n"/>
      <c r="E4" s="5">
        <f>COUNTA('テレアポ管理（鹿児島）'!K2:K100)+COUNTA('テレアポ管理（全国）'!K2:K100)</f>
        <v/>
      </c>
      <c r="F4" s="5">
        <f>COUNTIFS('テレアポ管理（鹿児島）'!T2:T100,"商談済み")+COUNTIFS('テレアポ管理（鹿児島）'!T2:T100,"申込済み")+COUNTIFS('テレアポ管理（全国）'!U2:U100,"商談済み")+COUNTIFS('テレアポ管理（全国）'!U2:U100,"契約済み")</f>
        <v/>
      </c>
      <c r="G4" s="6">
        <f>IFERROR(COUNTIFS(タスク管理!I2:I100,"完了")/COUNTA(タスク管理!A2:A100),0)</f>
        <v/>
      </c>
    </row>
    <row r="5">
      <c r="A5" s="7" t="inlineStr">
        <is>
          <t>目標: 20社</t>
        </is>
      </c>
      <c r="B5" s="7" t="inlineStr">
        <is>
          <t>目標: 3社</t>
        </is>
      </c>
    </row>
    <row r="7" ht="25" customHeight="1">
      <c r="A7" s="8" t="inlineStr">
        <is>
          <t>現在のフェーズ</t>
        </is>
      </c>
    </row>
    <row r="8">
      <c r="A8" s="9" t="inlineStr">
        <is>
          <t>4月</t>
        </is>
      </c>
      <c r="B8" s="39" t="n"/>
      <c r="C8" s="10" t="inlineStr">
        <is>
          <t>5/1</t>
        </is>
      </c>
      <c r="D8" s="39" t="n"/>
      <c r="E8" s="11" t="inlineStr">
        <is>
          <t>5〜7月</t>
        </is>
      </c>
      <c r="F8" s="39" t="n"/>
      <c r="G8" s="10" t="inlineStr">
        <is>
          <t>8/1</t>
        </is>
      </c>
      <c r="H8" s="39" t="n"/>
      <c r="I8" s="12" t="inlineStr">
        <is>
          <t>8〜12月</t>
        </is>
      </c>
      <c r="J8" s="39" t="n"/>
    </row>
    <row r="9">
      <c r="A9" s="13" t="inlineStr">
        <is>
          <t>営業準備
テレアポ</t>
        </is>
      </c>
      <c r="B9" s="39" t="n"/>
      <c r="C9" s="13" t="inlineStr">
        <is>
          <t>リリース</t>
        </is>
      </c>
      <c r="D9" s="39" t="n"/>
      <c r="E9" s="13" t="inlineStr">
        <is>
          <t>フリープラン
データ蓄積</t>
        </is>
      </c>
      <c r="F9" s="39" t="n"/>
      <c r="G9" s="13" t="inlineStr">
        <is>
          <t>有料移行</t>
        </is>
      </c>
      <c r="H9" s="39" t="n"/>
      <c r="I9" s="13" t="inlineStr">
        <is>
          <t>有料運用
クロスセル</t>
        </is>
      </c>
      <c r="J9" s="39" t="n"/>
    </row>
    <row r="11">
      <c r="A11" s="8" t="inlineStr">
        <is>
          <t>直近のアクション</t>
        </is>
      </c>
    </row>
    <row r="12">
      <c r="A12" s="14" t="inlineStr">
        <is>
          <t>時期</t>
        </is>
      </c>
      <c r="B12" s="14" t="inlineStr">
        <is>
          <t>アクション</t>
        </is>
      </c>
      <c r="C12" s="14" t="inlineStr">
        <is>
          <t>優先度</t>
        </is>
      </c>
    </row>
    <row r="13">
      <c r="A13" s="15" t="inlineStr">
        <is>
          <t>今週</t>
        </is>
      </c>
      <c r="B13" s="15" t="inlineStr">
        <is>
          <t>テレアポリスト50社作成＋営業資料最終確認＋ロープレ実施</t>
        </is>
      </c>
      <c r="C13" s="16" t="inlineStr">
        <is>
          <t>高</t>
        </is>
      </c>
    </row>
    <row r="14">
      <c r="A14" s="17" t="inlineStr">
        <is>
          <t>来週</t>
        </is>
      </c>
      <c r="B14" s="17" t="inlineStr">
        <is>
          <t>テレアポ開始（鹿児島80件＋全国40件）</t>
        </is>
      </c>
      <c r="C14" s="16" t="inlineStr">
        <is>
          <t>高</t>
        </is>
      </c>
    </row>
    <row r="15">
      <c r="A15" s="15" t="inlineStr">
        <is>
          <t>4/14</t>
        </is>
      </c>
      <c r="B15" s="15" t="inlineStr">
        <is>
          <t>フリープラン申込クロージング（期限4/20）</t>
        </is>
      </c>
      <c r="C15" s="16" t="inlineStr">
        <is>
          <t>高</t>
        </is>
      </c>
    </row>
    <row r="16">
      <c r="A16" s="17" t="inlineStr">
        <is>
          <t>4/21</t>
        </is>
      </c>
      <c r="B16" s="17" t="inlineStr">
        <is>
          <t>掲載ページ作成開始</t>
        </is>
      </c>
      <c r="C16" s="17" t="inlineStr">
        <is>
          <t>中</t>
        </is>
      </c>
    </row>
    <row r="17">
      <c r="A17" s="15" t="inlineStr">
        <is>
          <t>5/1</t>
        </is>
      </c>
      <c r="B17" s="15" t="inlineStr">
        <is>
          <t>プラットフォームリリース</t>
        </is>
      </c>
      <c r="C17" s="16" t="inlineStr">
        <is>
          <t>高</t>
        </is>
      </c>
    </row>
  </sheetData>
  <mergeCells count="13">
    <mergeCell ref="A1:H1"/>
    <mergeCell ref="E9:F9"/>
    <mergeCell ref="G8:H8"/>
    <mergeCell ref="A7:H7"/>
    <mergeCell ref="C9:D9"/>
    <mergeCell ref="A11:H11"/>
    <mergeCell ref="I9:J9"/>
    <mergeCell ref="I8:J8"/>
    <mergeCell ref="A9:B9"/>
    <mergeCell ref="G9:H9"/>
    <mergeCell ref="A8:B8"/>
    <mergeCell ref="E8:F8"/>
    <mergeCell ref="C8:D8"/>
  </mergeCells>
  <pageMargins left="0.75" right="0.75" top="1" bottom="1" header="0.5" footer="0.5"/>
</worksheet>
</file>

<file path=xl/worksheets/sheet2.xml><?xml version="1.0" encoding="utf-8"?>
<worksheet xmlns="http://schemas.openxmlformats.org/spreadsheetml/2006/main">
  <sheetPr>
    <tabColor rgb="002E4057"/>
    <outlinePr summaryBelow="1" summaryRight="1"/>
    <pageSetUpPr/>
  </sheetPr>
  <dimension ref="A1:F27"/>
  <sheetViews>
    <sheetView workbookViewId="0">
      <selection activeCell="A1" sqref="A1"/>
    </sheetView>
  </sheetViews>
  <sheetFormatPr baseColWidth="8" defaultRowHeight="15"/>
  <cols>
    <col width="20" customWidth="1" min="1" max="1"/>
    <col width="18" customWidth="1" min="2" max="2"/>
    <col width="18" customWidth="1" min="3" max="3"/>
    <col width="18" customWidth="1" min="4" max="4"/>
    <col width="18" customWidth="1" min="5" max="5"/>
    <col width="40" customWidth="1" min="6" max="6"/>
  </cols>
  <sheetData>
    <row r="1" ht="35" customHeight="1">
      <c r="A1" s="1" t="inlineStr">
        <is>
          <t>ぺいほーむ 事業戦略概要</t>
        </is>
      </c>
    </row>
    <row r="3" ht="28" customHeight="1">
      <c r="A3" s="18" t="inlineStr">
        <is>
          <t>事業の2本柱</t>
        </is>
      </c>
    </row>
    <row r="4" ht="40" customHeight="1">
      <c r="A4" s="19" t="inlineStr">
        <is>
          <t>プラットフォーム掲載</t>
        </is>
      </c>
      <c r="B4" s="15" t="inlineStr">
        <is>
          <t>鹿児島→九州。フリープラン→有料化。長期の事業基盤。データ×AI進化</t>
        </is>
      </c>
      <c r="C4" s="40" t="n"/>
      <c r="D4" s="40" t="n"/>
      <c r="E4" s="40" t="n"/>
      <c r="F4" s="39" t="n"/>
    </row>
    <row r="5" ht="40" customHeight="1">
      <c r="A5" s="19" t="inlineStr">
        <is>
          <t>マーケティング支援</t>
        </is>
      </c>
      <c r="B5" s="15" t="inlineStr">
        <is>
          <t>全国対応。動画・SNS運用代行。短期のキャッシュエンジン＋全国の工務店接点</t>
        </is>
      </c>
      <c r="C5" s="40" t="n"/>
      <c r="D5" s="40" t="n"/>
      <c r="E5" s="40" t="n"/>
      <c r="F5" s="39" t="n"/>
    </row>
    <row r="7" ht="28" customHeight="1">
      <c r="A7" s="18" t="inlineStr">
        <is>
          <t>フリープラン設計思想</t>
        </is>
      </c>
    </row>
    <row r="8" ht="40" customHeight="1">
      <c r="A8" s="19" t="inlineStr">
        <is>
          <t>なぜ無料か</t>
        </is>
      </c>
      <c r="B8" s="15" t="inlineStr">
        <is>
          <t>リリース直後はユーザーが少ない。少ないうちからお金をいただくのは筋が通らない。最初の3ヶ月は価値を証明する期間</t>
        </is>
      </c>
      <c r="C8" s="40" t="n"/>
      <c r="D8" s="40" t="n"/>
      <c r="E8" s="40" t="n"/>
      <c r="F8" s="39" t="n"/>
    </row>
    <row r="9" ht="40" customHeight="1">
      <c r="A9" s="19" t="inlineStr">
        <is>
          <t>3ヶ月後</t>
        </is>
      </c>
      <c r="B9" s="15" t="inlineStr">
        <is>
          <t>データレポートを提示。価値があれば有料化、なければやめてOK</t>
        </is>
      </c>
      <c r="C9" s="40" t="n"/>
      <c r="D9" s="40" t="n"/>
      <c r="E9" s="40" t="n"/>
      <c r="F9" s="39" t="n"/>
    </row>
    <row r="10" ht="40" customHeight="1">
      <c r="A10" s="19" t="inlineStr">
        <is>
          <t>有料化基準</t>
        </is>
      </c>
      <c r="B10" s="15" t="inlineStr">
        <is>
          <t>資料請求or見学会予約1件以上 or 月間閲覧100回以上</t>
        </is>
      </c>
      <c r="C10" s="40" t="n"/>
      <c r="D10" s="40" t="n"/>
      <c r="E10" s="40" t="n"/>
      <c r="F10" s="39" t="n"/>
    </row>
    <row r="12" ht="28" customHeight="1">
      <c r="A12" s="18" t="inlineStr">
        <is>
          <t>競争優位性</t>
        </is>
      </c>
    </row>
    <row r="13" ht="40" customHeight="1">
      <c r="A13" s="19" t="inlineStr">
        <is>
          <t>YouTube</t>
        </is>
      </c>
      <c r="B13" s="15" t="inlineStr">
        <is>
          <t>登録者42,841人 / 動画257本 / 月間15万回再生 / 九州No.1平屋専門ch</t>
        </is>
      </c>
      <c r="C13" s="40" t="n"/>
      <c r="D13" s="40" t="n"/>
      <c r="E13" s="40" t="n"/>
      <c r="F13" s="39" t="n"/>
    </row>
    <row r="14" ht="40" customHeight="1">
      <c r="A14" s="19" t="inlineStr">
        <is>
          <t>ターゲット純度</t>
        </is>
      </c>
      <c r="B14" s="15" t="inlineStr">
        <is>
          <t>視聴者の100%が平屋検討者。SUUMOは全ジャンル混在</t>
        </is>
      </c>
      <c r="C14" s="40" t="n"/>
      <c r="D14" s="40" t="n"/>
      <c r="E14" s="40" t="n"/>
      <c r="F14" s="39" t="n"/>
    </row>
    <row r="15" ht="40" customHeight="1">
      <c r="A15" s="19" t="inlineStr">
        <is>
          <t>制作コスト</t>
        </is>
      </c>
      <c r="B15" s="15" t="inlineStr">
        <is>
          <t>257本の実績でオペレーション確立。1本あたりコストが圧倒的に低い</t>
        </is>
      </c>
      <c r="C15" s="40" t="n"/>
      <c r="D15" s="40" t="n"/>
      <c r="E15" s="40" t="n"/>
      <c r="F15" s="39" t="n"/>
    </row>
    <row r="16" ht="40" customHeight="1">
      <c r="A16" s="19" t="inlineStr">
        <is>
          <t>反響単価</t>
        </is>
      </c>
      <c r="B16" s="15" t="inlineStr">
        <is>
          <t>目標1〜3万円。SUUMO平均5〜15万円の1/3〜1/5</t>
        </is>
      </c>
      <c r="C16" s="40" t="n"/>
      <c r="D16" s="40" t="n"/>
      <c r="E16" s="40" t="n"/>
      <c r="F16" s="39" t="n"/>
    </row>
    <row r="18">
      <c r="A18" s="18" t="inlineStr">
        <is>
          <t>収益シミュレーション（標準シナリオ）</t>
        </is>
      </c>
    </row>
    <row r="19">
      <c r="A19" s="14" t="inlineStr">
        <is>
          <t>月</t>
        </is>
      </c>
      <c r="B19" s="14" t="inlineStr">
        <is>
          <t>PF掲載売上</t>
        </is>
      </c>
      <c r="C19" s="14" t="inlineStr">
        <is>
          <t>マーケ支援売上</t>
        </is>
      </c>
      <c r="D19" s="14" t="inlineStr">
        <is>
          <t>月間合計</t>
        </is>
      </c>
      <c r="E19" s="14" t="inlineStr">
        <is>
          <t>累計</t>
        </is>
      </c>
    </row>
    <row r="20">
      <c r="A20" s="15" t="inlineStr">
        <is>
          <t>5月</t>
        </is>
      </c>
      <c r="B20" s="20" t="n">
        <v>0</v>
      </c>
      <c r="C20" s="20" t="n">
        <v>240000</v>
      </c>
      <c r="D20" s="20">
        <f>B20+C20</f>
        <v/>
      </c>
      <c r="E20" s="20">
        <f>D20</f>
        <v/>
      </c>
    </row>
    <row r="21">
      <c r="A21" s="17" t="inlineStr">
        <is>
          <t>6月</t>
        </is>
      </c>
      <c r="B21" s="21" t="n">
        <v>0</v>
      </c>
      <c r="C21" s="21" t="n">
        <v>360000</v>
      </c>
      <c r="D21" s="21">
        <f>B21+C21</f>
        <v/>
      </c>
      <c r="E21" s="21">
        <f>E20+D21</f>
        <v/>
      </c>
    </row>
    <row r="22">
      <c r="A22" s="15" t="inlineStr">
        <is>
          <t>7月</t>
        </is>
      </c>
      <c r="B22" s="20" t="n">
        <v>0</v>
      </c>
      <c r="C22" s="20" t="n">
        <v>480000</v>
      </c>
      <c r="D22" s="20">
        <f>B22+C22</f>
        <v/>
      </c>
      <c r="E22" s="20">
        <f>E21+D22</f>
        <v/>
      </c>
    </row>
    <row r="23">
      <c r="A23" s="17" t="inlineStr">
        <is>
          <t>8月</t>
        </is>
      </c>
      <c r="B23" s="21" t="n">
        <v>150000</v>
      </c>
      <c r="C23" s="21" t="n">
        <v>560000</v>
      </c>
      <c r="D23" s="21">
        <f>B23+C23</f>
        <v/>
      </c>
      <c r="E23" s="21">
        <f>E22+D23</f>
        <v/>
      </c>
    </row>
    <row r="24">
      <c r="A24" s="15" t="inlineStr">
        <is>
          <t>9月</t>
        </is>
      </c>
      <c r="B24" s="20" t="n">
        <v>200000</v>
      </c>
      <c r="C24" s="20" t="n">
        <v>640000</v>
      </c>
      <c r="D24" s="20">
        <f>B24+C24</f>
        <v/>
      </c>
      <c r="E24" s="20">
        <f>E23+D24</f>
        <v/>
      </c>
    </row>
    <row r="25">
      <c r="A25" s="17" t="inlineStr">
        <is>
          <t>10月</t>
        </is>
      </c>
      <c r="B25" s="21" t="n">
        <v>250000</v>
      </c>
      <c r="C25" s="21" t="n">
        <v>720000</v>
      </c>
      <c r="D25" s="21">
        <f>B25+C25</f>
        <v/>
      </c>
      <c r="E25" s="21">
        <f>E24+D25</f>
        <v/>
      </c>
    </row>
    <row r="26">
      <c r="A26" s="15" t="inlineStr">
        <is>
          <t>11月</t>
        </is>
      </c>
      <c r="B26" s="20" t="n">
        <v>280000</v>
      </c>
      <c r="C26" s="20" t="n">
        <v>800000</v>
      </c>
      <c r="D26" s="20">
        <f>B26+C26</f>
        <v/>
      </c>
      <c r="E26" s="20">
        <f>E25+D26</f>
        <v/>
      </c>
    </row>
    <row r="27">
      <c r="A27" s="17" t="inlineStr">
        <is>
          <t>12月</t>
        </is>
      </c>
      <c r="B27" s="21" t="n">
        <v>320000</v>
      </c>
      <c r="C27" s="21" t="n">
        <v>880000</v>
      </c>
      <c r="D27" s="21">
        <f>B27+C27</f>
        <v/>
      </c>
      <c r="E27" s="21">
        <f>E26+D27</f>
        <v/>
      </c>
    </row>
  </sheetData>
  <mergeCells count="14">
    <mergeCell ref="B4:F4"/>
    <mergeCell ref="B16:F16"/>
    <mergeCell ref="B15:F15"/>
    <mergeCell ref="B10:F10"/>
    <mergeCell ref="A1:F1"/>
    <mergeCell ref="B5:F5"/>
    <mergeCell ref="A12:F12"/>
    <mergeCell ref="A18:F18"/>
    <mergeCell ref="B14:F14"/>
    <mergeCell ref="A3:F3"/>
    <mergeCell ref="B8:F8"/>
    <mergeCell ref="B13:F13"/>
    <mergeCell ref="B9:F9"/>
    <mergeCell ref="A7:F7"/>
  </mergeCells>
  <pageMargins left="0.75" right="0.75" top="1" bottom="1" header="0.5" footer="0.5"/>
</worksheet>
</file>

<file path=xl/worksheets/sheet3.xml><?xml version="1.0" encoding="utf-8"?>
<worksheet xmlns="http://schemas.openxmlformats.org/spreadsheetml/2006/main">
  <sheetPr>
    <tabColor rgb="00E8740C"/>
    <outlinePr summaryBelow="1" summaryRight="1"/>
    <pageSetUpPr/>
  </sheetPr>
  <dimension ref="A1:H3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プラットフォーム掲載プラン</t>
        </is>
      </c>
    </row>
    <row r="3">
      <c r="A3" s="14" t="inlineStr">
        <is>
          <t>プラン名</t>
        </is>
      </c>
      <c r="B3" s="14" t="inlineStr">
        <is>
          <t>月額</t>
        </is>
      </c>
      <c r="C3" s="14" t="inlineStr">
        <is>
          <t>資料請求</t>
        </is>
      </c>
      <c r="D3" s="14" t="inlineStr">
        <is>
          <t>見学会来場</t>
        </is>
      </c>
      <c r="E3" s="14" t="inlineStr">
        <is>
          <t>住宅契約</t>
        </is>
      </c>
      <c r="F3" s="14" t="inlineStr">
        <is>
          <t>YouTube概要欄</t>
        </is>
      </c>
      <c r="G3" s="14" t="inlineStr">
        <is>
          <t>上位表示</t>
        </is>
      </c>
      <c r="H3" s="14" t="inlineStr">
        <is>
          <t>おすすめ対象</t>
        </is>
      </c>
    </row>
    <row r="4">
      <c r="A4" s="22" t="inlineStr">
        <is>
          <t>フリープラン</t>
        </is>
      </c>
      <c r="B4" s="22" t="inlineStr">
        <is>
          <t>0円</t>
        </is>
      </c>
      <c r="C4" s="22" t="inlineStr">
        <is>
          <t>0円</t>
        </is>
      </c>
      <c r="D4" s="22" t="inlineStr">
        <is>
          <t>0円</t>
        </is>
      </c>
      <c r="E4" s="22" t="inlineStr">
        <is>
          <t>0円</t>
        </is>
      </c>
      <c r="F4" s="22" t="inlineStr">
        <is>
          <t>❌</t>
        </is>
      </c>
      <c r="G4" s="22" t="inlineStr">
        <is>
          <t>❌</t>
        </is>
      </c>
      <c r="H4" s="22" t="inlineStr">
        <is>
          <t>全社（5〜7月）</t>
        </is>
      </c>
    </row>
    <row r="5">
      <c r="A5" s="17" t="inlineStr">
        <is>
          <t>成果報酬</t>
        </is>
      </c>
      <c r="B5" s="17" t="inlineStr">
        <is>
          <t>0円</t>
        </is>
      </c>
      <c r="C5" s="17" t="inlineStr">
        <is>
          <t>8,000円/件</t>
        </is>
      </c>
      <c r="D5" s="17" t="inlineStr">
        <is>
          <t>80,000円/件</t>
        </is>
      </c>
      <c r="E5" s="17" t="inlineStr">
        <is>
          <t>4%</t>
        </is>
      </c>
      <c r="F5" s="17" t="inlineStr">
        <is>
          <t>❌</t>
        </is>
      </c>
      <c r="G5" s="17" t="inlineStr">
        <is>
          <t>❌</t>
        </is>
      </c>
      <c r="H5" s="17" t="inlineStr">
        <is>
          <t>反響月2件以下</t>
        </is>
      </c>
    </row>
    <row r="6">
      <c r="A6" s="15" t="inlineStr">
        <is>
          <t>掲載ベーシック</t>
        </is>
      </c>
      <c r="B6" s="15" t="inlineStr">
        <is>
          <t>30,000円</t>
        </is>
      </c>
      <c r="C6" s="15" t="inlineStr">
        <is>
          <t>5,000円/件</t>
        </is>
      </c>
      <c r="D6" s="15" t="inlineStr">
        <is>
          <t>50,000円/件</t>
        </is>
      </c>
      <c r="E6" s="15" t="inlineStr">
        <is>
          <t>3%</t>
        </is>
      </c>
      <c r="F6" s="15" t="inlineStr">
        <is>
          <t>✅</t>
        </is>
      </c>
      <c r="G6" s="15" t="inlineStr">
        <is>
          <t>❌</t>
        </is>
      </c>
      <c r="H6" s="15" t="inlineStr">
        <is>
          <t>反響月3〜5件</t>
        </is>
      </c>
    </row>
    <row r="7">
      <c r="A7" s="17" t="inlineStr">
        <is>
          <t>掲載プロ</t>
        </is>
      </c>
      <c r="B7" s="17" t="inlineStr">
        <is>
          <t>50,000円</t>
        </is>
      </c>
      <c r="C7" s="17" t="inlineStr">
        <is>
          <t>3,000円/件</t>
        </is>
      </c>
      <c r="D7" s="17" t="inlineStr">
        <is>
          <t>30,000円/件</t>
        </is>
      </c>
      <c r="E7" s="17" t="inlineStr">
        <is>
          <t>2%</t>
        </is>
      </c>
      <c r="F7" s="17" t="inlineStr">
        <is>
          <t>✅</t>
        </is>
      </c>
      <c r="G7" s="17" t="inlineStr">
        <is>
          <t>✅</t>
        </is>
      </c>
      <c r="H7" s="17" t="inlineStr">
        <is>
          <t>反響月5件以上</t>
        </is>
      </c>
    </row>
    <row r="10">
      <c r="A10" s="1" t="inlineStr">
        <is>
          <t>マーケティング支援プラン</t>
        </is>
      </c>
    </row>
    <row r="12">
      <c r="A12" s="14" t="inlineStr">
        <is>
          <t>プラン名</t>
        </is>
      </c>
      <c r="B12" s="14" t="inlineStr">
        <is>
          <t>月額</t>
        </is>
      </c>
      <c r="C12" s="14" t="inlineStr">
        <is>
          <t>ルームツアー</t>
        </is>
      </c>
      <c r="D12" s="14" t="inlineStr">
        <is>
          <t>ショート動画</t>
        </is>
      </c>
      <c r="E12" s="14" t="inlineStr">
        <is>
          <t>Instagram</t>
        </is>
      </c>
      <c r="F12" s="14" t="inlineStr">
        <is>
          <t>TikTok</t>
        </is>
      </c>
      <c r="G12" s="14" t="inlineStr">
        <is>
          <t>LINE</t>
        </is>
      </c>
      <c r="H12" s="14" t="inlineStr">
        <is>
          <t>戦略会議</t>
        </is>
      </c>
    </row>
    <row r="13">
      <c r="A13" s="15" t="inlineStr">
        <is>
          <t>エントリー</t>
        </is>
      </c>
      <c r="B13" s="15" t="inlineStr">
        <is>
          <t>80,000円</t>
        </is>
      </c>
      <c r="C13" s="15" t="inlineStr">
        <is>
          <t>—</t>
        </is>
      </c>
      <c r="D13" s="15" t="inlineStr">
        <is>
          <t>月4本</t>
        </is>
      </c>
      <c r="E13" s="15" t="inlineStr">
        <is>
          <t>週3投稿</t>
        </is>
      </c>
      <c r="F13" s="15" t="inlineStr">
        <is>
          <t>週2投稿</t>
        </is>
      </c>
      <c r="G13" s="15" t="inlineStr">
        <is>
          <t>—</t>
        </is>
      </c>
      <c r="H13" s="15" t="inlineStr">
        <is>
          <t>—</t>
        </is>
      </c>
    </row>
    <row r="14">
      <c r="A14" s="17" t="inlineStr">
        <is>
          <t>グロース</t>
        </is>
      </c>
      <c r="B14" s="17" t="inlineStr">
        <is>
          <t>150,000円</t>
        </is>
      </c>
      <c r="C14" s="17" t="inlineStr">
        <is>
          <t>月1本</t>
        </is>
      </c>
      <c r="D14" s="17" t="inlineStr">
        <is>
          <t>月8本</t>
        </is>
      </c>
      <c r="E14" s="17" t="inlineStr">
        <is>
          <t>毎日投稿</t>
        </is>
      </c>
      <c r="F14" s="17" t="inlineStr">
        <is>
          <t>週3投稿</t>
        </is>
      </c>
      <c r="G14" s="17" t="inlineStr">
        <is>
          <t>月2配信</t>
        </is>
      </c>
      <c r="H14" s="17" t="inlineStr">
        <is>
          <t>—</t>
        </is>
      </c>
    </row>
    <row r="15">
      <c r="A15" s="15" t="inlineStr">
        <is>
          <t>プレミアム</t>
        </is>
      </c>
      <c r="B15" s="15" t="inlineStr">
        <is>
          <t>250,000円</t>
        </is>
      </c>
      <c r="C15" s="15" t="inlineStr">
        <is>
          <t>月2本</t>
        </is>
      </c>
      <c r="D15" s="15" t="inlineStr">
        <is>
          <t>月12本</t>
        </is>
      </c>
      <c r="E15" s="15" t="inlineStr">
        <is>
          <t>毎日投稿</t>
        </is>
      </c>
      <c r="F15" s="15" t="inlineStr">
        <is>
          <t>毎日投稿</t>
        </is>
      </c>
      <c r="G15" s="15" t="inlineStr">
        <is>
          <t>月4配信</t>
        </is>
      </c>
      <c r="H15" s="15" t="inlineStr">
        <is>
          <t>月1回</t>
        </is>
      </c>
    </row>
    <row r="18">
      <c r="A18" s="8" t="inlineStr">
        <is>
          <t>セット割引（掲載＋マーケ支援）</t>
        </is>
      </c>
    </row>
    <row r="19">
      <c r="A19" s="14" t="inlineStr">
        <is>
          <t>掲載プラン</t>
        </is>
      </c>
      <c r="B19" s="14" t="inlineStr">
        <is>
          <t>マーケ支援</t>
        </is>
      </c>
      <c r="C19" s="14" t="inlineStr">
        <is>
          <t>個別合計</t>
        </is>
      </c>
      <c r="D19" s="14" t="inlineStr">
        <is>
          <t>セット価格</t>
        </is>
      </c>
      <c r="E19" s="14" t="inlineStr">
        <is>
          <t>割引額</t>
        </is>
      </c>
    </row>
    <row r="20">
      <c r="A20" s="15" t="inlineStr">
        <is>
          <t>掲載ベーシック</t>
        </is>
      </c>
      <c r="B20" s="15" t="inlineStr">
        <is>
          <t>エントリー</t>
        </is>
      </c>
      <c r="C20" s="15" t="inlineStr">
        <is>
          <t>11万円</t>
        </is>
      </c>
      <c r="D20" s="15" t="inlineStr">
        <is>
          <t>10万円</t>
        </is>
      </c>
      <c r="E20" s="15" t="inlineStr">
        <is>
          <t>▲1万円</t>
        </is>
      </c>
    </row>
    <row r="21">
      <c r="A21" s="17" t="inlineStr">
        <is>
          <t>掲載ベーシック</t>
        </is>
      </c>
      <c r="B21" s="17" t="inlineStr">
        <is>
          <t>グロース</t>
        </is>
      </c>
      <c r="C21" s="17" t="inlineStr">
        <is>
          <t>18万円</t>
        </is>
      </c>
      <c r="D21" s="17" t="inlineStr">
        <is>
          <t>16万円</t>
        </is>
      </c>
      <c r="E21" s="17" t="inlineStr">
        <is>
          <t>▲2万円</t>
        </is>
      </c>
    </row>
    <row r="22">
      <c r="A22" s="15" t="inlineStr">
        <is>
          <t>掲載プロ</t>
        </is>
      </c>
      <c r="B22" s="15" t="inlineStr">
        <is>
          <t>グロース</t>
        </is>
      </c>
      <c r="C22" s="15" t="inlineStr">
        <is>
          <t>20万円</t>
        </is>
      </c>
      <c r="D22" s="15" t="inlineStr">
        <is>
          <t>18万円</t>
        </is>
      </c>
      <c r="E22" s="15" t="inlineStr">
        <is>
          <t>▲2万円</t>
        </is>
      </c>
    </row>
    <row r="23">
      <c r="A23" s="17" t="inlineStr">
        <is>
          <t>掲載プロ</t>
        </is>
      </c>
      <c r="B23" s="17" t="inlineStr">
        <is>
          <t>プレミアム</t>
        </is>
      </c>
      <c r="C23" s="17" t="inlineStr">
        <is>
          <t>30万円</t>
        </is>
      </c>
      <c r="D23" s="17" t="inlineStr">
        <is>
          <t>27万円</t>
        </is>
      </c>
      <c r="E23" s="17" t="inlineStr">
        <is>
          <t>▲3万円</t>
        </is>
      </c>
    </row>
    <row r="26">
      <c r="A26" s="8" t="inlineStr">
        <is>
          <t>単発メニュー</t>
        </is>
      </c>
    </row>
    <row r="27">
      <c r="A27" s="14" t="inlineStr">
        <is>
          <t>メニュー</t>
        </is>
      </c>
      <c r="B27" s="14" t="inlineStr">
        <is>
          <t>価格（税別）</t>
        </is>
      </c>
    </row>
    <row r="28">
      <c r="A28" s="15" t="inlineStr">
        <is>
          <t>ルームツアー動画</t>
        </is>
      </c>
      <c r="B28" s="15" t="inlineStr">
        <is>
          <t>150,000円/本</t>
        </is>
      </c>
    </row>
    <row r="29">
      <c r="A29" s="17" t="inlineStr">
        <is>
          <t>ショート動画</t>
        </is>
      </c>
      <c r="B29" s="17" t="inlineStr">
        <is>
          <t>30,000円/本</t>
        </is>
      </c>
    </row>
    <row r="30">
      <c r="A30" s="15" t="inlineStr">
        <is>
          <t>見学会集客パック</t>
        </is>
      </c>
      <c r="B30" s="15" t="inlineStr">
        <is>
          <t>100,000円/回</t>
        </is>
      </c>
    </row>
    <row r="31">
      <c r="A31" s="17" t="inlineStr">
        <is>
          <t>お客様インタビュー</t>
        </is>
      </c>
      <c r="B31" s="17" t="inlineStr">
        <is>
          <t>80,000円/本</t>
        </is>
      </c>
    </row>
    <row r="32">
      <c r="A32" s="15" t="inlineStr">
        <is>
          <t>写真撮影パック</t>
        </is>
      </c>
      <c r="B32" s="15" t="inlineStr">
        <is>
          <t>50,000円/回</t>
        </is>
      </c>
    </row>
    <row r="33">
      <c r="A33" s="17" t="inlineStr">
        <is>
          <t>LP制作</t>
        </is>
      </c>
      <c r="B33" s="17" t="inlineStr">
        <is>
          <t>300,000円〜</t>
        </is>
      </c>
    </row>
  </sheetData>
  <mergeCells count="4">
    <mergeCell ref="A18:H18"/>
    <mergeCell ref="A26:H26"/>
    <mergeCell ref="A10:H10"/>
    <mergeCell ref="A1:H1"/>
  </mergeCells>
  <pageMargins left="0.75" right="0.75" top="1" bottom="1" header="0.5" footer="0.5"/>
</worksheet>
</file>

<file path=xl/worksheets/sheet4.xml><?xml version="1.0" encoding="utf-8"?>
<worksheet xmlns="http://schemas.openxmlformats.org/spreadsheetml/2006/main">
  <sheetPr>
    <tabColor rgb="0027AE60"/>
    <outlinePr summaryBelow="1" summaryRight="1"/>
    <pageSetUpPr/>
  </sheetPr>
  <dimension ref="A1:V101"/>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25" customWidth="1" min="22" max="22"/>
  </cols>
  <sheetData>
    <row r="1">
      <c r="A1" s="14" t="inlineStr">
        <is>
          <t>ID</t>
        </is>
      </c>
      <c r="B1" s="14" t="inlineStr">
        <is>
          <t>企業名</t>
        </is>
      </c>
      <c r="C1" s="14" t="inlineStr">
        <is>
          <t>代表者</t>
        </is>
      </c>
      <c r="D1" s="14" t="inlineStr">
        <is>
          <t>担当者</t>
        </is>
      </c>
      <c r="E1" s="14" t="inlineStr">
        <is>
          <t>電話番号</t>
        </is>
      </c>
      <c r="F1" s="14" t="inlineStr">
        <is>
          <t>メール</t>
        </is>
      </c>
      <c r="G1" s="14" t="inlineStr">
        <is>
          <t>エリア</t>
        </is>
      </c>
      <c r="H1" s="14" t="inlineStr">
        <is>
          <t>従業員数</t>
        </is>
      </c>
      <c r="I1" s="14" t="inlineStr">
        <is>
          <t>年間施工数</t>
        </is>
      </c>
      <c r="J1" s="14" t="inlineStr">
        <is>
          <t>平屋実績</t>
        </is>
      </c>
      <c r="K1" s="14" t="inlineStr">
        <is>
          <t>1回目コール日</t>
        </is>
      </c>
      <c r="L1" s="14" t="inlineStr">
        <is>
          <t>1回目結果</t>
        </is>
      </c>
      <c r="M1" s="14" t="inlineStr">
        <is>
          <t>2回目コール日</t>
        </is>
      </c>
      <c r="N1" s="14" t="inlineStr">
        <is>
          <t>2回目結果</t>
        </is>
      </c>
      <c r="O1" s="14" t="inlineStr">
        <is>
          <t>資料送付日</t>
        </is>
      </c>
      <c r="P1" s="14" t="inlineStr">
        <is>
          <t>商談日</t>
        </is>
      </c>
      <c r="Q1" s="14" t="inlineStr">
        <is>
          <t>商談結果</t>
        </is>
      </c>
      <c r="R1" s="14" t="inlineStr">
        <is>
          <t>申込日</t>
        </is>
      </c>
      <c r="S1" s="14" t="inlineStr">
        <is>
          <t>申込プラン</t>
        </is>
      </c>
      <c r="T1" s="14" t="inlineStr">
        <is>
          <t>ステータス</t>
        </is>
      </c>
      <c r="U1" s="14" t="inlineStr">
        <is>
          <t>担当者(自社)</t>
        </is>
      </c>
      <c r="V1" s="14" t="inlineStr">
        <is>
          <t>メモ</t>
        </is>
      </c>
    </row>
    <row r="2">
      <c r="A2" s="15" t="inlineStr">
        <is>
          <t>K-001</t>
        </is>
      </c>
      <c r="B2" s="15" t="inlineStr">
        <is>
          <t>ヤマサハウス株式会社</t>
        </is>
      </c>
      <c r="C2" s="15" t="inlineStr">
        <is>
          <t>森 勇清</t>
        </is>
      </c>
      <c r="D2" s="15" t="inlineStr"/>
      <c r="E2" s="15" t="inlineStr">
        <is>
          <t>099-295-3911</t>
        </is>
      </c>
      <c r="F2" s="15" t="inlineStr"/>
      <c r="G2" s="15" t="inlineStr">
        <is>
          <t>鹿児島市</t>
        </is>
      </c>
      <c r="H2" s="15" t="inlineStr"/>
      <c r="I2" s="15" t="inlineStr"/>
      <c r="J2" s="15" t="inlineStr"/>
      <c r="K2" s="15" t="inlineStr"/>
      <c r="L2" s="15" t="inlineStr"/>
      <c r="M2" s="15" t="inlineStr"/>
      <c r="N2" s="15" t="inlineStr"/>
      <c r="O2" s="15" t="inlineStr"/>
      <c r="P2" s="15" t="inlineStr"/>
      <c r="Q2" s="15" t="inlineStr"/>
      <c r="R2" s="15" t="inlineStr"/>
      <c r="S2" s="15" t="inlineStr"/>
      <c r="T2" s="15" t="inlineStr">
        <is>
          <t>未コール</t>
        </is>
      </c>
      <c r="U2" s="15" t="inlineStr">
        <is>
          <t>右田</t>
        </is>
      </c>
      <c r="V2" s="15" t="inlineStr">
        <is>
          <t>創業1948年 資本金9,800万円 社員193名</t>
        </is>
      </c>
    </row>
    <row r="3">
      <c r="A3" s="17" t="inlineStr">
        <is>
          <t>K-002</t>
        </is>
      </c>
      <c r="B3" s="17" t="inlineStr">
        <is>
          <t>株式会社センチュリーハウス</t>
        </is>
      </c>
      <c r="C3" s="17" t="inlineStr">
        <is>
          <t>加治木 百年</t>
        </is>
      </c>
      <c r="D3" s="17" t="inlineStr"/>
      <c r="E3" s="17" t="inlineStr">
        <is>
          <t>099-813-0001</t>
        </is>
      </c>
      <c r="F3" s="17" t="inlineStr"/>
      <c r="G3" s="17" t="inlineStr">
        <is>
          <t>鹿児島市</t>
        </is>
      </c>
      <c r="H3" s="17" t="inlineStr"/>
      <c r="I3" s="17" t="inlineStr"/>
      <c r="J3" s="17" t="inlineStr"/>
      <c r="K3" s="17" t="inlineStr"/>
      <c r="L3" s="17" t="inlineStr"/>
      <c r="M3" s="17" t="inlineStr"/>
      <c r="N3" s="17" t="inlineStr"/>
      <c r="O3" s="17" t="inlineStr"/>
      <c r="P3" s="17" t="inlineStr"/>
      <c r="Q3" s="17" t="inlineStr"/>
      <c r="R3" s="17" t="inlineStr"/>
      <c r="S3" s="17" t="inlineStr"/>
      <c r="T3" s="17" t="inlineStr">
        <is>
          <t>未コール</t>
        </is>
      </c>
      <c r="U3" s="17" t="inlineStr">
        <is>
          <t>右田</t>
        </is>
      </c>
      <c r="V3" s="17" t="inlineStr">
        <is>
          <t>設立平成9年8月 資本金1,000万円 姶良店・鹿屋店あり</t>
        </is>
      </c>
    </row>
    <row r="4">
      <c r="A4" s="15" t="inlineStr">
        <is>
          <t>K-003</t>
        </is>
      </c>
      <c r="B4" s="15" t="inlineStr">
        <is>
          <t>株式会社七呂建設</t>
        </is>
      </c>
      <c r="C4" s="15" t="inlineStr">
        <is>
          <t>七呂 恵介</t>
        </is>
      </c>
      <c r="D4" s="15" t="inlineStr"/>
      <c r="E4" s="15" t="inlineStr">
        <is>
          <t>099-201-3015</t>
        </is>
      </c>
      <c r="F4" s="15" t="inlineStr"/>
      <c r="G4" s="15" t="inlineStr">
        <is>
          <t>鹿児島市</t>
        </is>
      </c>
      <c r="H4" s="15" t="inlineStr"/>
      <c r="I4" s="15" t="inlineStr"/>
      <c r="J4" s="15" t="inlineStr"/>
      <c r="K4" s="15" t="inlineStr"/>
      <c r="L4" s="15" t="inlineStr"/>
      <c r="M4" s="15" t="inlineStr"/>
      <c r="N4" s="15" t="inlineStr"/>
      <c r="O4" s="15" t="inlineStr"/>
      <c r="P4" s="15" t="inlineStr"/>
      <c r="Q4" s="15" t="inlineStr"/>
      <c r="R4" s="15" t="inlineStr"/>
      <c r="S4" s="15" t="inlineStr"/>
      <c r="T4" s="15" t="inlineStr">
        <is>
          <t>未コール</t>
        </is>
      </c>
      <c r="U4" s="15" t="inlineStr">
        <is>
          <t>右田</t>
        </is>
      </c>
      <c r="V4" s="15" t="inlineStr">
        <is>
          <t>創業昭和35年 資本金8,700万円 社員181名 九州各地に展開</t>
        </is>
      </c>
    </row>
    <row r="5">
      <c r="A5" s="17" t="inlineStr">
        <is>
          <t>K-004</t>
        </is>
      </c>
      <c r="B5" s="17" t="inlineStr">
        <is>
          <t>株式会社国分ハウジング</t>
        </is>
      </c>
      <c r="C5" s="17" t="inlineStr">
        <is>
          <t>久保 範和</t>
        </is>
      </c>
      <c r="D5" s="17" t="inlineStr"/>
      <c r="E5" s="17" t="inlineStr">
        <is>
          <t>0995-45-8886</t>
        </is>
      </c>
      <c r="F5" s="17" t="inlineStr"/>
      <c r="G5" s="17" t="inlineStr">
        <is>
          <t>霧島市</t>
        </is>
      </c>
      <c r="H5" s="17" t="inlineStr"/>
      <c r="I5" s="17" t="inlineStr"/>
      <c r="J5" s="17" t="inlineStr"/>
      <c r="K5" s="17" t="inlineStr"/>
      <c r="L5" s="17" t="inlineStr"/>
      <c r="M5" s="17" t="inlineStr"/>
      <c r="N5" s="17" t="inlineStr"/>
      <c r="O5" s="17" t="inlineStr"/>
      <c r="P5" s="17" t="inlineStr"/>
      <c r="Q5" s="17" t="inlineStr"/>
      <c r="R5" s="17" t="inlineStr"/>
      <c r="S5" s="17" t="inlineStr"/>
      <c r="T5" s="17" t="inlineStr">
        <is>
          <t>未コール</t>
        </is>
      </c>
      <c r="U5" s="17" t="inlineStr">
        <is>
          <t>右田</t>
        </is>
      </c>
      <c r="V5" s="17" t="inlineStr">
        <is>
          <t>創業昭和63年 資本金3,000万円 グループ社員261名</t>
        </is>
      </c>
    </row>
    <row r="6">
      <c r="A6" s="15" t="inlineStr">
        <is>
          <t>K-005</t>
        </is>
      </c>
      <c r="B6" s="15" t="inlineStr">
        <is>
          <t>株式会社トータルハウジング</t>
        </is>
      </c>
      <c r="C6" s="15" t="inlineStr">
        <is>
          <t>渡邊 孝太郎</t>
        </is>
      </c>
      <c r="D6" s="15" t="inlineStr"/>
      <c r="E6" s="15" t="inlineStr">
        <is>
          <t>099-210-5120</t>
        </is>
      </c>
      <c r="F6" s="15" t="inlineStr"/>
      <c r="G6" s="15" t="inlineStr">
        <is>
          <t>鹿児島市</t>
        </is>
      </c>
      <c r="H6" s="15" t="inlineStr"/>
      <c r="I6" s="15" t="inlineStr"/>
      <c r="J6" s="15" t="inlineStr"/>
      <c r="K6" s="15" t="inlineStr"/>
      <c r="L6" s="15" t="inlineStr"/>
      <c r="M6" s="15" t="inlineStr"/>
      <c r="N6" s="15" t="inlineStr"/>
      <c r="O6" s="15" t="inlineStr"/>
      <c r="P6" s="15" t="inlineStr"/>
      <c r="Q6" s="15" t="inlineStr"/>
      <c r="R6" s="15" t="inlineStr"/>
      <c r="S6" s="15" t="inlineStr"/>
      <c r="T6" s="15" t="inlineStr">
        <is>
          <t>未コール</t>
        </is>
      </c>
      <c r="U6" s="15" t="inlineStr">
        <is>
          <t>右田</t>
        </is>
      </c>
      <c r="V6" s="15" t="inlineStr">
        <is>
          <t>創業1991年 資本金1,000万円</t>
        </is>
      </c>
    </row>
    <row r="7">
      <c r="A7" s="17" t="inlineStr">
        <is>
          <t>K-006</t>
        </is>
      </c>
      <c r="B7" s="17" t="inlineStr">
        <is>
          <t>株式会社NEO（NEOデザインホーム）</t>
        </is>
      </c>
      <c r="C7" s="17" t="inlineStr">
        <is>
          <t>赤﨑 広久</t>
        </is>
      </c>
      <c r="D7" s="17" t="inlineStr"/>
      <c r="E7" s="17" t="inlineStr">
        <is>
          <t>099-298-9300</t>
        </is>
      </c>
      <c r="F7" s="17" t="inlineStr"/>
      <c r="G7" s="17" t="inlineStr">
        <is>
          <t>鹿児島市</t>
        </is>
      </c>
      <c r="H7" s="17" t="inlineStr"/>
      <c r="I7" s="17" t="inlineStr"/>
      <c r="J7" s="17" t="inlineStr"/>
      <c r="K7" s="17" t="inlineStr"/>
      <c r="L7" s="17" t="inlineStr"/>
      <c r="M7" s="17" t="inlineStr"/>
      <c r="N7" s="17" t="inlineStr"/>
      <c r="O7" s="17" t="inlineStr"/>
      <c r="P7" s="17" t="inlineStr"/>
      <c r="Q7" s="17" t="inlineStr"/>
      <c r="R7" s="17" t="inlineStr"/>
      <c r="S7" s="17" t="inlineStr"/>
      <c r="T7" s="17" t="inlineStr">
        <is>
          <t>未コール</t>
        </is>
      </c>
      <c r="U7" s="17" t="inlineStr">
        <is>
          <t>右田</t>
        </is>
      </c>
      <c r="V7" s="17" t="inlineStr">
        <is>
          <t>設立2005年11月 資本金5,000万円 NEOホールディングスグループ</t>
        </is>
      </c>
    </row>
    <row r="8">
      <c r="A8" s="15" t="inlineStr">
        <is>
          <t>K-007</t>
        </is>
      </c>
      <c r="B8" s="15" t="inlineStr">
        <is>
          <t>MBC開発株式会社（MBCハウス）</t>
        </is>
      </c>
      <c r="C8" s="15" t="inlineStr">
        <is>
          <t>陶山 賢治</t>
        </is>
      </c>
      <c r="D8" s="15" t="inlineStr"/>
      <c r="E8" s="15" t="inlineStr">
        <is>
          <t>099-226-7777</t>
        </is>
      </c>
      <c r="F8" s="15" t="inlineStr"/>
      <c r="G8" s="15" t="inlineStr">
        <is>
          <t>鹿児島市</t>
        </is>
      </c>
      <c r="H8" s="15" t="inlineStr"/>
      <c r="I8" s="15" t="inlineStr"/>
      <c r="J8" s="15" t="inlineStr"/>
      <c r="K8" s="15" t="inlineStr"/>
      <c r="L8" s="15" t="inlineStr"/>
      <c r="M8" s="15" t="inlineStr"/>
      <c r="N8" s="15" t="inlineStr"/>
      <c r="O8" s="15" t="inlineStr"/>
      <c r="P8" s="15" t="inlineStr"/>
      <c r="Q8" s="15" t="inlineStr"/>
      <c r="R8" s="15" t="inlineStr"/>
      <c r="S8" s="15" t="inlineStr"/>
      <c r="T8" s="15" t="inlineStr">
        <is>
          <t>未コール</t>
        </is>
      </c>
      <c r="U8" s="15" t="inlineStr">
        <is>
          <t>右田</t>
        </is>
      </c>
      <c r="V8" s="15" t="inlineStr">
        <is>
          <t>創業1969年 南日本放送グループ 社員232名</t>
        </is>
      </c>
    </row>
    <row r="9">
      <c r="A9" s="17" t="inlineStr">
        <is>
          <t>K-008</t>
        </is>
      </c>
      <c r="B9" s="17" t="inlineStr">
        <is>
          <t>丸和建設株式会社</t>
        </is>
      </c>
      <c r="C9" s="17" t="inlineStr">
        <is>
          <t>和田 康伸</t>
        </is>
      </c>
      <c r="D9" s="17" t="inlineStr"/>
      <c r="E9" s="17" t="inlineStr">
        <is>
          <t>099-269-7600</t>
        </is>
      </c>
      <c r="F9" s="17" t="inlineStr"/>
      <c r="G9" s="17" t="inlineStr">
        <is>
          <t>鹿児島市</t>
        </is>
      </c>
      <c r="H9" s="17" t="inlineStr"/>
      <c r="I9" s="17" t="inlineStr"/>
      <c r="J9" s="17" t="inlineStr"/>
      <c r="K9" s="17" t="inlineStr"/>
      <c r="L9" s="17" t="inlineStr"/>
      <c r="M9" s="17" t="inlineStr"/>
      <c r="N9" s="17" t="inlineStr"/>
      <c r="O9" s="17" t="inlineStr"/>
      <c r="P9" s="17" t="inlineStr"/>
      <c r="Q9" s="17" t="inlineStr"/>
      <c r="R9" s="17" t="inlineStr"/>
      <c r="S9" s="17" t="inlineStr"/>
      <c r="T9" s="17" t="inlineStr">
        <is>
          <t>未コール</t>
        </is>
      </c>
      <c r="U9" s="17" t="inlineStr">
        <is>
          <t>右田</t>
        </is>
      </c>
      <c r="V9" s="17" t="inlineStr">
        <is>
          <t>創業1980年10月 資本金3,000万円 社員61名</t>
        </is>
      </c>
    </row>
    <row r="10">
      <c r="A10" s="15" t="inlineStr">
        <is>
          <t>K-009</t>
        </is>
      </c>
      <c r="B10" s="15" t="inlineStr">
        <is>
          <t>株式会社ベガハウス</t>
        </is>
      </c>
      <c r="C10" s="15" t="inlineStr">
        <is>
          <t>大迫 学</t>
        </is>
      </c>
      <c r="D10" s="15" t="inlineStr"/>
      <c r="E10" s="15" t="inlineStr">
        <is>
          <t>099-295-0788</t>
        </is>
      </c>
      <c r="F10" s="15" t="inlineStr"/>
      <c r="G10" s="15" t="inlineStr">
        <is>
          <t>鹿児島市</t>
        </is>
      </c>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is>
          <t>未コール</t>
        </is>
      </c>
      <c r="U10" s="15" t="inlineStr">
        <is>
          <t>右田</t>
        </is>
      </c>
      <c r="V10" s="15" t="inlineStr">
        <is>
          <t>創業1986年5月 資本金2,500万円 社員22名</t>
        </is>
      </c>
    </row>
    <row r="11">
      <c r="A11" s="17" t="inlineStr">
        <is>
          <t>K-010</t>
        </is>
      </c>
      <c r="B11" s="17" t="inlineStr">
        <is>
          <t>株式会社ベルハウジング</t>
        </is>
      </c>
      <c r="C11" s="17" t="inlineStr">
        <is>
          <t>松田 英之</t>
        </is>
      </c>
      <c r="D11" s="17" t="inlineStr"/>
      <c r="E11" s="17" t="inlineStr">
        <is>
          <t>099-250-0694</t>
        </is>
      </c>
      <c r="F11" s="17" t="inlineStr"/>
      <c r="G11" s="17" t="inlineStr">
        <is>
          <t>鹿児島市</t>
        </is>
      </c>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is>
          <t>未コール</t>
        </is>
      </c>
      <c r="U11" s="17" t="inlineStr">
        <is>
          <t>右田</t>
        </is>
      </c>
      <c r="V11" s="17" t="inlineStr">
        <is>
          <t>創業昭和61年5月 霧島店あり</t>
        </is>
      </c>
    </row>
    <row r="12">
      <c r="A12" s="15" t="inlineStr">
        <is>
          <t>K-011</t>
        </is>
      </c>
      <c r="B12" s="15" t="inlineStr">
        <is>
          <t>有限会社田建築工房</t>
        </is>
      </c>
      <c r="C12" s="15" t="inlineStr">
        <is>
          <t>田底 克也</t>
        </is>
      </c>
      <c r="D12" s="15" t="inlineStr"/>
      <c r="E12" s="15" t="inlineStr">
        <is>
          <t>099-250-6347</t>
        </is>
      </c>
      <c r="F12" s="15" t="inlineStr"/>
      <c r="G12" s="15" t="inlineStr">
        <is>
          <t>鹿児島市</t>
        </is>
      </c>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is>
          <t>未コール</t>
        </is>
      </c>
      <c r="U12" s="15" t="inlineStr">
        <is>
          <t>右田</t>
        </is>
      </c>
      <c r="V12" s="15" t="inlineStr">
        <is>
          <t>設立平成12年4月 資本金500万円</t>
        </is>
      </c>
    </row>
    <row r="13">
      <c r="A13" s="17" t="inlineStr">
        <is>
          <t>K-012</t>
        </is>
      </c>
      <c r="B13" s="17" t="inlineStr">
        <is>
          <t>株式会社感動</t>
        </is>
      </c>
      <c r="C13" s="17" t="inlineStr">
        <is>
          <t>渡邊 孝太郎</t>
        </is>
      </c>
      <c r="D13" s="17" t="inlineStr"/>
      <c r="E13" s="17" t="inlineStr">
        <is>
          <t>099-296-8881</t>
        </is>
      </c>
      <c r="F13" s="17" t="inlineStr"/>
      <c r="G13" s="17" t="inlineStr">
        <is>
          <t>鹿児島市</t>
        </is>
      </c>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is>
          <t>未コール</t>
        </is>
      </c>
      <c r="U13" s="17" t="inlineStr">
        <is>
          <t>右田</t>
        </is>
      </c>
      <c r="V13" s="17" t="inlineStr">
        <is>
          <t>社員23名 姶良支店あり トータルハウジングと同代表</t>
        </is>
      </c>
    </row>
    <row r="14">
      <c r="A14" s="15" t="inlineStr">
        <is>
          <t>K-013</t>
        </is>
      </c>
      <c r="B14" s="15" t="inlineStr">
        <is>
          <t>株式会社成建ホーム</t>
        </is>
      </c>
      <c r="C14" s="15" t="inlineStr">
        <is>
          <t>澁谷 大</t>
        </is>
      </c>
      <c r="D14" s="15" t="inlineStr"/>
      <c r="E14" s="15" t="inlineStr">
        <is>
          <t>0996-20-5520</t>
        </is>
      </c>
      <c r="F14" s="15" t="inlineStr"/>
      <c r="G14" s="15" t="inlineStr">
        <is>
          <t>薩摩川内市</t>
        </is>
      </c>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is>
          <t>未コール</t>
        </is>
      </c>
      <c r="U14" s="15" t="inlineStr">
        <is>
          <t>右田</t>
        </is>
      </c>
      <c r="V14" s="15" t="inlineStr">
        <is>
          <t>創業平成元年7月 資本金1,000万円</t>
        </is>
      </c>
    </row>
    <row r="15">
      <c r="A15" s="17" t="inlineStr">
        <is>
          <t>K-014</t>
        </is>
      </c>
      <c r="B15" s="17" t="inlineStr">
        <is>
          <t>クラシックホーム（ヤマサハウス株式会社）</t>
        </is>
      </c>
      <c r="C15" s="17" t="inlineStr">
        <is>
          <t>森 勇清</t>
        </is>
      </c>
      <c r="D15" s="17" t="inlineStr"/>
      <c r="E15" s="17" t="inlineStr">
        <is>
          <t>099-295-3910</t>
        </is>
      </c>
      <c r="F15" s="17" t="inlineStr"/>
      <c r="G15" s="17" t="inlineStr">
        <is>
          <t>鹿児島市</t>
        </is>
      </c>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is>
          <t>未コール</t>
        </is>
      </c>
      <c r="U15" s="17" t="inlineStr">
        <is>
          <t>右田</t>
        </is>
      </c>
      <c r="V15" s="17" t="inlineStr">
        <is>
          <t>ヤマサハウスが運営する規格住宅ブランド ショールーム:与次郎</t>
        </is>
      </c>
    </row>
    <row r="16">
      <c r="A16" s="15" t="inlineStr">
        <is>
          <t>K-015</t>
        </is>
      </c>
      <c r="B16" s="15" t="inlineStr">
        <is>
          <t>なごみ工務店（株式会社国分ハウジング）</t>
        </is>
      </c>
      <c r="C16" s="15" t="inlineStr">
        <is>
          <t>久保 範和</t>
        </is>
      </c>
      <c r="D16" s="15" t="inlineStr"/>
      <c r="E16" s="15" t="inlineStr">
        <is>
          <t>0995-45-8886</t>
        </is>
      </c>
      <c r="F16" s="15" t="inlineStr"/>
      <c r="G16" s="15" t="inlineStr">
        <is>
          <t>鹿児島市</t>
        </is>
      </c>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is>
          <t>未コール</t>
        </is>
      </c>
      <c r="U16" s="15" t="inlineStr">
        <is>
          <t>右田</t>
        </is>
      </c>
      <c r="V16" s="15" t="inlineStr">
        <is>
          <t>国分ハウジンググループ 自然素材の家づくり</t>
        </is>
      </c>
    </row>
    <row r="17">
      <c r="A17" s="17" t="inlineStr">
        <is>
          <t>K-016</t>
        </is>
      </c>
      <c r="B17" s="17" t="inlineStr">
        <is>
          <t>PGハウス（株式会社国分ハウジング）</t>
        </is>
      </c>
      <c r="C17" s="17" t="inlineStr">
        <is>
          <t>久保 範和</t>
        </is>
      </c>
      <c r="D17" s="17" t="inlineStr"/>
      <c r="E17" s="17" t="inlineStr">
        <is>
          <t>0995-45-8886</t>
        </is>
      </c>
      <c r="F17" s="17" t="inlineStr"/>
      <c r="G17" s="17" t="inlineStr">
        <is>
          <t>霧島市</t>
        </is>
      </c>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is>
          <t>未コール</t>
        </is>
      </c>
      <c r="U17" s="17" t="inlineStr">
        <is>
          <t>右田</t>
        </is>
      </c>
      <c r="V17" s="17" t="inlineStr">
        <is>
          <t>国分ハウジンググループ</t>
        </is>
      </c>
    </row>
    <row r="18">
      <c r="A18" s="15" t="inlineStr">
        <is>
          <t>K-017</t>
        </is>
      </c>
      <c r="B18" s="15" t="inlineStr">
        <is>
          <t>チェックハウスプラス鹿児島（株式会社NEO）</t>
        </is>
      </c>
      <c r="C18" s="15" t="inlineStr">
        <is>
          <t>赤﨑 広久</t>
        </is>
      </c>
      <c r="D18" s="15" t="inlineStr"/>
      <c r="E18" s="15" t="inlineStr">
        <is>
          <t>099-201-3355</t>
        </is>
      </c>
      <c r="F18" s="15" t="inlineStr"/>
      <c r="G18" s="15" t="inlineStr">
        <is>
          <t>鹿児島市</t>
        </is>
      </c>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is>
          <t>未コール</t>
        </is>
      </c>
      <c r="U18" s="15" t="inlineStr">
        <is>
          <t>右田</t>
        </is>
      </c>
      <c r="V18" s="15" t="inlineStr">
        <is>
          <t>NEOデザインホーム事業本部が運営</t>
        </is>
      </c>
    </row>
    <row r="19">
      <c r="A19" s="17" t="inlineStr">
        <is>
          <t>K-018</t>
        </is>
      </c>
      <c r="B19" s="17" t="inlineStr">
        <is>
          <t>デイジャストハウス（株式会社国分ハウジング）</t>
        </is>
      </c>
      <c r="C19" s="17" t="inlineStr">
        <is>
          <t>久保 範和</t>
        </is>
      </c>
      <c r="D19" s="17" t="inlineStr"/>
      <c r="E19" s="17" t="inlineStr">
        <is>
          <t>0995-73-5602</t>
        </is>
      </c>
      <c r="F19" s="17" t="inlineStr"/>
      <c r="G19" s="17" t="inlineStr">
        <is>
          <t>霧島市</t>
        </is>
      </c>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is>
          <t>未コール</t>
        </is>
      </c>
      <c r="U19" s="17" t="inlineStr">
        <is>
          <t>右田</t>
        </is>
      </c>
      <c r="V19" s="17" t="inlineStr">
        <is>
          <t>国分ハウジンググループ 創業2004年 企画型注文住宅</t>
        </is>
      </c>
    </row>
    <row r="20">
      <c r="A20" s="15" t="inlineStr">
        <is>
          <t>K-019</t>
        </is>
      </c>
      <c r="B20" s="15" t="inlineStr">
        <is>
          <t>アイフルホーム鹿児島（株式会社Life plus home）</t>
        </is>
      </c>
      <c r="C20" s="15" t="inlineStr">
        <is>
          <t>不明</t>
        </is>
      </c>
      <c r="D20" s="15" t="inlineStr"/>
      <c r="E20" s="15" t="inlineStr">
        <is>
          <t>099-202-0340</t>
        </is>
      </c>
      <c r="F20" s="15" t="inlineStr"/>
      <c r="G20" s="15" t="inlineStr">
        <is>
          <t>霧島市</t>
        </is>
      </c>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is>
          <t>未コール</t>
        </is>
      </c>
      <c r="U20" s="15" t="inlineStr">
        <is>
          <t>右田</t>
        </is>
      </c>
      <c r="V20" s="15" t="inlineStr">
        <is>
          <t>アイフルホームFC加盟店 創業平成25年8月</t>
        </is>
      </c>
    </row>
    <row r="21">
      <c r="A21" s="17" t="inlineStr">
        <is>
          <t>K-020</t>
        </is>
      </c>
      <c r="B21" s="17" t="inlineStr">
        <is>
          <t>株式会社Lib Work（リブワーク）</t>
        </is>
      </c>
      <c r="C21" s="17" t="inlineStr">
        <is>
          <t>瀬口 力</t>
        </is>
      </c>
      <c r="D21" s="17" t="inlineStr"/>
      <c r="E21" s="17" t="inlineStr">
        <is>
          <t>0120-443-557</t>
        </is>
      </c>
      <c r="F21" s="17" t="inlineStr"/>
      <c r="G21" s="17" t="inlineStr">
        <is>
          <t>熊本（鹿児島展開）</t>
        </is>
      </c>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is>
          <t>未コール</t>
        </is>
      </c>
      <c r="U21" s="17" t="inlineStr">
        <is>
          <t>右田</t>
        </is>
      </c>
      <c r="V21" s="17" t="inlineStr">
        <is>
          <t>東証グロース上場 資本金10億円 鹿児島はIPライセンス加盟店展開</t>
        </is>
      </c>
    </row>
    <row r="22">
      <c r="A22" s="15" t="inlineStr">
        <is>
          <t>K-021</t>
        </is>
      </c>
      <c r="B22" s="15" t="inlineStr">
        <is>
          <t>株式会社もみの木ハウス・かごしま</t>
        </is>
      </c>
      <c r="C22" s="15" t="inlineStr">
        <is>
          <t>竹下 浩二</t>
        </is>
      </c>
      <c r="D22" s="15" t="inlineStr"/>
      <c r="E22" s="15" t="inlineStr">
        <is>
          <t>0995-62-1064</t>
        </is>
      </c>
      <c r="F22" s="15" t="inlineStr"/>
      <c r="G22" s="15" t="inlineStr">
        <is>
          <t>姶良市</t>
        </is>
      </c>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is>
          <t>未コール</t>
        </is>
      </c>
      <c r="U22" s="15" t="inlineStr">
        <is>
          <t>右田</t>
        </is>
      </c>
      <c r="V22" s="15" t="inlineStr">
        <is>
          <t>もみの木ハウス協会加盟</t>
        </is>
      </c>
    </row>
    <row r="23">
      <c r="A23" s="17" t="inlineStr">
        <is>
          <t>K-022</t>
        </is>
      </c>
      <c r="B23" s="17" t="inlineStr">
        <is>
          <t>ニーエルホーム（株式会社国分ハウジング）</t>
        </is>
      </c>
      <c r="C23" s="17" t="inlineStr">
        <is>
          <t>久保 範和</t>
        </is>
      </c>
      <c r="D23" s="17" t="inlineStr"/>
      <c r="E23" s="17" t="inlineStr">
        <is>
          <t>099-296-9222</t>
        </is>
      </c>
      <c r="F23" s="17" t="inlineStr"/>
      <c r="G23" s="17" t="inlineStr">
        <is>
          <t>鹿児島市</t>
        </is>
      </c>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is>
          <t>未コール</t>
        </is>
      </c>
      <c r="U23" s="17" t="inlineStr">
        <is>
          <t>右田</t>
        </is>
      </c>
      <c r="V23" s="17" t="inlineStr">
        <is>
          <t>国分ハウジンググループ 2人暮らし専門の新築住宅</t>
        </is>
      </c>
    </row>
    <row r="24">
      <c r="A24" s="15" t="inlineStr">
        <is>
          <t>K-023</t>
        </is>
      </c>
      <c r="B24" s="15" t="inlineStr">
        <is>
          <t>サイエンスホーム鹿児島（小山工建株式会社）</t>
        </is>
      </c>
      <c r="C24" s="15" t="inlineStr">
        <is>
          <t>日当瀬 賢</t>
        </is>
      </c>
      <c r="D24" s="15" t="inlineStr"/>
      <c r="E24" s="15" t="inlineStr">
        <is>
          <t>099-223-1161</t>
        </is>
      </c>
      <c r="F24" s="15" t="inlineStr"/>
      <c r="G24" s="15" t="inlineStr">
        <is>
          <t>鹿児島市</t>
        </is>
      </c>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is>
          <t>未コール</t>
        </is>
      </c>
      <c r="U24" s="15" t="inlineStr">
        <is>
          <t>右田</t>
        </is>
      </c>
      <c r="V24" s="15" t="inlineStr">
        <is>
          <t>創業1978年7月 資本金2,200万円 綿半HDグループ</t>
        </is>
      </c>
    </row>
    <row r="25">
      <c r="A25" s="17" t="inlineStr">
        <is>
          <t>K-024</t>
        </is>
      </c>
      <c r="B25" s="17" t="inlineStr">
        <is>
          <t>おばま工務店（株式会社住まいず）</t>
        </is>
      </c>
      <c r="C25" s="17" t="inlineStr">
        <is>
          <t>有村 康弘</t>
        </is>
      </c>
      <c r="D25" s="17" t="inlineStr"/>
      <c r="E25" s="17" t="inlineStr">
        <is>
          <t>0995-64-2351</t>
        </is>
      </c>
      <c r="F25" s="17" t="inlineStr"/>
      <c r="G25" s="17" t="inlineStr">
        <is>
          <t>霧島市</t>
        </is>
      </c>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is>
          <t>未コール</t>
        </is>
      </c>
      <c r="U25" s="17" t="inlineStr">
        <is>
          <t>右田</t>
        </is>
      </c>
      <c r="V25" s="17" t="inlineStr">
        <is>
          <t>設立1999年 資本金2,000万円 社員18名</t>
        </is>
      </c>
    </row>
    <row r="26">
      <c r="A26" s="15" t="inlineStr">
        <is>
          <t>K-025</t>
        </is>
      </c>
      <c r="B26" s="15" t="inlineStr">
        <is>
          <t>株式会社中池組</t>
        </is>
      </c>
      <c r="C26" s="15" t="inlineStr">
        <is>
          <t>中池 理恵</t>
        </is>
      </c>
      <c r="D26" s="15" t="inlineStr"/>
      <c r="E26" s="15" t="inlineStr">
        <is>
          <t>0996-22-3451</t>
        </is>
      </c>
      <c r="F26" s="15" t="inlineStr"/>
      <c r="G26" s="15" t="inlineStr">
        <is>
          <t>薩摩川内市</t>
        </is>
      </c>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is>
          <t>未コール</t>
        </is>
      </c>
      <c r="U26" s="15" t="inlineStr">
        <is>
          <t>右田</t>
        </is>
      </c>
      <c r="V26" s="15" t="inlineStr">
        <is>
          <t>総合建設業 社員40名 5代目社長</t>
        </is>
      </c>
    </row>
    <row r="27">
      <c r="A27" s="17" t="inlineStr">
        <is>
          <t>K-026</t>
        </is>
      </c>
      <c r="B27" s="17" t="inlineStr">
        <is>
          <t>株式会社建築工房匠</t>
        </is>
      </c>
      <c r="C27" s="17" t="inlineStr">
        <is>
          <t>福迫（名前不明）</t>
        </is>
      </c>
      <c r="D27" s="17" t="inlineStr"/>
      <c r="E27" s="17" t="inlineStr">
        <is>
          <t>099-264-2034</t>
        </is>
      </c>
      <c r="F27" s="17" t="inlineStr"/>
      <c r="G27" s="17" t="inlineStr">
        <is>
          <t>鹿児島市</t>
        </is>
      </c>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is>
          <t>未コール</t>
        </is>
      </c>
      <c r="U27" s="17" t="inlineStr">
        <is>
          <t>右田</t>
        </is>
      </c>
      <c r="V27" s="17" t="inlineStr">
        <is>
          <t>設立2005年7月 かごしま材にこだわった家づくり</t>
        </is>
      </c>
    </row>
    <row r="28">
      <c r="A28" s="15" t="inlineStr">
        <is>
          <t>K-027</t>
        </is>
      </c>
      <c r="B28" s="15" t="inlineStr">
        <is>
          <t>鎌田建設株式会社（カマダの家）</t>
        </is>
      </c>
      <c r="C28" s="15" t="inlineStr">
        <is>
          <t>鎌田 善政</t>
        </is>
      </c>
      <c r="D28" s="15" t="inlineStr"/>
      <c r="E28" s="15" t="inlineStr">
        <is>
          <t>0995-45-3000</t>
        </is>
      </c>
      <c r="F28" s="15" t="inlineStr"/>
      <c r="G28" s="15" t="inlineStr">
        <is>
          <t>霧島市</t>
        </is>
      </c>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is>
          <t>未コール</t>
        </is>
      </c>
      <c r="U28" s="15" t="inlineStr">
        <is>
          <t>右田</t>
        </is>
      </c>
      <c r="V28" s="15" t="inlineStr">
        <is>
          <t>資本金4,000万円 土木・建築・住宅建築</t>
        </is>
      </c>
    </row>
    <row r="29">
      <c r="A29" s="17" t="inlineStr">
        <is>
          <t>K-028</t>
        </is>
      </c>
      <c r="B29" s="17" t="inlineStr">
        <is>
          <t>三洋ハウス株式会社</t>
        </is>
      </c>
      <c r="C29" s="17" t="inlineStr">
        <is>
          <t>逆瀬川 勇</t>
        </is>
      </c>
      <c r="D29" s="17" t="inlineStr"/>
      <c r="E29" s="17" t="inlineStr">
        <is>
          <t>099-285-1000</t>
        </is>
      </c>
      <c r="F29" s="17" t="inlineStr"/>
      <c r="G29" s="17" t="inlineStr">
        <is>
          <t>鹿児島市</t>
        </is>
      </c>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is>
          <t>未コール</t>
        </is>
      </c>
      <c r="U29" s="17" t="inlineStr">
        <is>
          <t>右田</t>
        </is>
      </c>
      <c r="V29" s="17" t="inlineStr">
        <is>
          <t>創業昭和53年10月 資本金2,000万円</t>
        </is>
      </c>
    </row>
    <row r="30">
      <c r="A30" s="15" t="inlineStr">
        <is>
          <t>K-029</t>
        </is>
      </c>
      <c r="B30" s="15" t="inlineStr">
        <is>
          <t>株式会社田丸ハウス（タマルハウス）</t>
        </is>
      </c>
      <c r="C30" s="15" t="inlineStr">
        <is>
          <t>不明</t>
        </is>
      </c>
      <c r="D30" s="15" t="inlineStr"/>
      <c r="E30" s="15" t="inlineStr">
        <is>
          <t>099-256-6056</t>
        </is>
      </c>
      <c r="F30" s="15" t="inlineStr"/>
      <c r="G30" s="15" t="inlineStr">
        <is>
          <t>鹿児島市</t>
        </is>
      </c>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is>
          <t>未コール</t>
        </is>
      </c>
      <c r="U30" s="15" t="inlineStr">
        <is>
          <t>右田</t>
        </is>
      </c>
      <c r="V30" s="15" t="inlineStr">
        <is>
          <t>設立平成13年6月 資本金1,000万円 テクノストラクチャー工法</t>
        </is>
      </c>
    </row>
    <row r="31">
      <c r="A31" s="17" t="inlineStr">
        <is>
          <t>K-030</t>
        </is>
      </c>
      <c r="B31" s="17" t="inlineStr">
        <is>
          <t>株式会社創造企画（創造ホーム）</t>
        </is>
      </c>
      <c r="C31" s="17" t="inlineStr">
        <is>
          <t>中村 成孝</t>
        </is>
      </c>
      <c r="D31" s="17" t="inlineStr"/>
      <c r="E31" s="17" t="inlineStr">
        <is>
          <t>099-220-5131</t>
        </is>
      </c>
      <c r="F31" s="17" t="inlineStr"/>
      <c r="G31" s="17" t="inlineStr">
        <is>
          <t>鹿児島市</t>
        </is>
      </c>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is>
          <t>未コール</t>
        </is>
      </c>
      <c r="U31" s="17" t="inlineStr">
        <is>
          <t>右田</t>
        </is>
      </c>
      <c r="V31" s="17" t="inlineStr">
        <is>
          <t>創業昭和52年4月 資本金1,000万円</t>
        </is>
      </c>
    </row>
    <row r="32">
      <c r="A32" s="15" t="inlineStr">
        <is>
          <t>K-031</t>
        </is>
      </c>
      <c r="B32" s="15" t="inlineStr">
        <is>
          <t>株式会社ウッドバンク（ウッドバンクデザイン）</t>
        </is>
      </c>
      <c r="C32" s="15" t="inlineStr">
        <is>
          <t>渡邊 千晃</t>
        </is>
      </c>
      <c r="D32" s="15" t="inlineStr"/>
      <c r="E32" s="15" t="inlineStr">
        <is>
          <t>099-220-2225</t>
        </is>
      </c>
      <c r="F32" s="15" t="inlineStr"/>
      <c r="G32" s="15" t="inlineStr">
        <is>
          <t>鹿児島市</t>
        </is>
      </c>
      <c r="H32" s="15" t="inlineStr"/>
      <c r="I32" s="15" t="inlineStr"/>
      <c r="J32" s="15" t="inlineStr"/>
      <c r="K32" s="15" t="inlineStr"/>
      <c r="L32" s="15" t="inlineStr"/>
      <c r="M32" s="15" t="inlineStr"/>
      <c r="N32" s="15" t="inlineStr"/>
      <c r="O32" s="15" t="inlineStr"/>
      <c r="P32" s="15" t="inlineStr"/>
      <c r="Q32" s="15" t="inlineStr"/>
      <c r="R32" s="15" t="inlineStr"/>
      <c r="S32" s="15" t="inlineStr"/>
      <c r="T32" s="15" t="inlineStr">
        <is>
          <t>未コール</t>
        </is>
      </c>
      <c r="U32" s="15" t="inlineStr">
        <is>
          <t>右田</t>
        </is>
      </c>
      <c r="V32" s="15" t="inlineStr">
        <is>
          <t>創業2011年6月 資本金800万円 社員10名 天然乾燥材</t>
        </is>
      </c>
    </row>
    <row r="33">
      <c r="A33" s="17" t="inlineStr">
        <is>
          <t>K-032</t>
        </is>
      </c>
      <c r="B33" s="17" t="inlineStr">
        <is>
          <t>イオン・ホーム（いおん株式会社）</t>
        </is>
      </c>
      <c r="C33" s="17" t="inlineStr">
        <is>
          <t>富田 柔文</t>
        </is>
      </c>
      <c r="D33" s="17" t="inlineStr"/>
      <c r="E33" s="17" t="inlineStr">
        <is>
          <t>099-295-0108</t>
        </is>
      </c>
      <c r="F33" s="17" t="inlineStr"/>
      <c r="G33" s="17" t="inlineStr">
        <is>
          <t>鹿児島市</t>
        </is>
      </c>
      <c r="H33" s="17" t="inlineStr"/>
      <c r="I33" s="17" t="inlineStr"/>
      <c r="J33" s="17" t="inlineStr"/>
      <c r="K33" s="17" t="inlineStr"/>
      <c r="L33" s="17" t="inlineStr"/>
      <c r="M33" s="17" t="inlineStr"/>
      <c r="N33" s="17" t="inlineStr"/>
      <c r="O33" s="17" t="inlineStr"/>
      <c r="P33" s="17" t="inlineStr"/>
      <c r="Q33" s="17" t="inlineStr"/>
      <c r="R33" s="17" t="inlineStr"/>
      <c r="S33" s="17" t="inlineStr"/>
      <c r="T33" s="17" t="inlineStr">
        <is>
          <t>未コール</t>
        </is>
      </c>
      <c r="U33" s="17" t="inlineStr">
        <is>
          <t>右田</t>
        </is>
      </c>
      <c r="V33" s="17" t="inlineStr">
        <is>
          <t>2x4工法 資本金500万円</t>
        </is>
      </c>
    </row>
    <row r="34">
      <c r="A34" s="15" t="inlineStr">
        <is>
          <t>K-033</t>
        </is>
      </c>
      <c r="B34" s="15" t="inlineStr">
        <is>
          <t>旭住宅株式会社</t>
        </is>
      </c>
      <c r="C34" s="15" t="inlineStr">
        <is>
          <t>寺迫 昭博</t>
        </is>
      </c>
      <c r="D34" s="15" t="inlineStr"/>
      <c r="E34" s="15" t="inlineStr">
        <is>
          <t>0996-25-0945</t>
        </is>
      </c>
      <c r="F34" s="15" t="inlineStr"/>
      <c r="G34" s="15" t="inlineStr">
        <is>
          <t>薩摩川内市</t>
        </is>
      </c>
      <c r="H34" s="15" t="inlineStr"/>
      <c r="I34" s="15" t="inlineStr"/>
      <c r="J34" s="15" t="inlineStr"/>
      <c r="K34" s="15" t="inlineStr"/>
      <c r="L34" s="15" t="inlineStr"/>
      <c r="M34" s="15" t="inlineStr"/>
      <c r="N34" s="15" t="inlineStr"/>
      <c r="O34" s="15" t="inlineStr"/>
      <c r="P34" s="15" t="inlineStr"/>
      <c r="Q34" s="15" t="inlineStr"/>
      <c r="R34" s="15" t="inlineStr"/>
      <c r="S34" s="15" t="inlineStr"/>
      <c r="T34" s="15" t="inlineStr">
        <is>
          <t>未コール</t>
        </is>
      </c>
      <c r="U34" s="15" t="inlineStr">
        <is>
          <t>右田</t>
        </is>
      </c>
      <c r="V34" s="15" t="inlineStr">
        <is>
          <t>設立1980年9月 資本金2,000万円 自然素材の木の家</t>
        </is>
      </c>
    </row>
    <row r="35">
      <c r="A35" s="17" t="inlineStr">
        <is>
          <t>K-034</t>
        </is>
      </c>
      <c r="B35" s="17" t="inlineStr">
        <is>
          <t>BinO鹿児島（MBC開発株式会社）</t>
        </is>
      </c>
      <c r="C35" s="17" t="inlineStr">
        <is>
          <t>陶山 賢治</t>
        </is>
      </c>
      <c r="D35" s="17" t="inlineStr"/>
      <c r="E35" s="17" t="inlineStr">
        <is>
          <t>099-226-7777</t>
        </is>
      </c>
      <c r="F35" s="17" t="inlineStr"/>
      <c r="G35" s="17" t="inlineStr">
        <is>
          <t>鹿児島市</t>
        </is>
      </c>
      <c r="H35" s="17" t="inlineStr"/>
      <c r="I35" s="17" t="inlineStr"/>
      <c r="J35" s="17" t="inlineStr"/>
      <c r="K35" s="17" t="inlineStr"/>
      <c r="L35" s="17" t="inlineStr"/>
      <c r="M35" s="17" t="inlineStr"/>
      <c r="N35" s="17" t="inlineStr"/>
      <c r="O35" s="17" t="inlineStr"/>
      <c r="P35" s="17" t="inlineStr"/>
      <c r="Q35" s="17" t="inlineStr"/>
      <c r="R35" s="17" t="inlineStr"/>
      <c r="S35" s="17" t="inlineStr"/>
      <c r="T35" s="17" t="inlineStr">
        <is>
          <t>未コール</t>
        </is>
      </c>
      <c r="U35" s="17" t="inlineStr">
        <is>
          <t>右田</t>
        </is>
      </c>
      <c r="V35" s="17" t="inlineStr">
        <is>
          <t>MBC開発が運営するBinOブランド スキップフロア住宅</t>
        </is>
      </c>
    </row>
    <row r="36">
      <c r="A36" s="15" t="inlineStr">
        <is>
          <t>K-035</t>
        </is>
      </c>
      <c r="B36" s="15" t="inlineStr">
        <is>
          <t>株式会社技建</t>
        </is>
      </c>
      <c r="C36" s="15" t="inlineStr">
        <is>
          <t>桑木野 芳明</t>
        </is>
      </c>
      <c r="D36" s="15" t="inlineStr"/>
      <c r="E36" s="15" t="inlineStr">
        <is>
          <t>0996-25-2208</t>
        </is>
      </c>
      <c r="F36" s="15" t="inlineStr"/>
      <c r="G36" s="15" t="inlineStr">
        <is>
          <t>薩摩川内市</t>
        </is>
      </c>
      <c r="H36" s="15" t="inlineStr"/>
      <c r="I36" s="15" t="inlineStr"/>
      <c r="J36" s="15" t="inlineStr"/>
      <c r="K36" s="15" t="inlineStr"/>
      <c r="L36" s="15" t="inlineStr"/>
      <c r="M36" s="15" t="inlineStr"/>
      <c r="N36" s="15" t="inlineStr"/>
      <c r="O36" s="15" t="inlineStr"/>
      <c r="P36" s="15" t="inlineStr"/>
      <c r="Q36" s="15" t="inlineStr"/>
      <c r="R36" s="15" t="inlineStr"/>
      <c r="S36" s="15" t="inlineStr"/>
      <c r="T36" s="15" t="inlineStr">
        <is>
          <t>未コール</t>
        </is>
      </c>
      <c r="U36" s="15" t="inlineStr">
        <is>
          <t>右田</t>
        </is>
      </c>
      <c r="V36" s="15" t="inlineStr">
        <is>
          <t>創業昭和52年9月 資本金2,000万円</t>
        </is>
      </c>
    </row>
    <row r="37">
      <c r="A37" s="17" t="inlineStr">
        <is>
          <t>K-036</t>
        </is>
      </c>
      <c r="B37" s="17" t="inlineStr">
        <is>
          <t>丸和建設株式会社</t>
        </is>
      </c>
      <c r="C37" s="17" t="inlineStr">
        <is>
          <t>和田 康伸</t>
        </is>
      </c>
      <c r="D37" s="17" t="inlineStr"/>
      <c r="E37" s="17" t="inlineStr">
        <is>
          <t>099-269-7600</t>
        </is>
      </c>
      <c r="F37" s="17" t="inlineStr"/>
      <c r="G37" s="17" t="inlineStr">
        <is>
          <t>鹿児島市</t>
        </is>
      </c>
      <c r="H37" s="17" t="inlineStr"/>
      <c r="I37" s="17" t="inlineStr"/>
      <c r="J37" s="17" t="inlineStr"/>
      <c r="K37" s="17" t="inlineStr"/>
      <c r="L37" s="17" t="inlineStr"/>
      <c r="M37" s="17" t="inlineStr"/>
      <c r="N37" s="17" t="inlineStr"/>
      <c r="O37" s="17" t="inlineStr"/>
      <c r="P37" s="17" t="inlineStr"/>
      <c r="Q37" s="17" t="inlineStr"/>
      <c r="R37" s="17" t="inlineStr"/>
      <c r="S37" s="17" t="inlineStr"/>
      <c r="T37" s="17" t="inlineStr">
        <is>
          <t>未コール</t>
        </is>
      </c>
      <c r="U37" s="17" t="inlineStr">
        <is>
          <t>右田</t>
        </is>
      </c>
      <c r="V37" s="17" t="inlineStr">
        <is>
          <t>ID8と重複 創業1980年10月 資本金3,000万円</t>
        </is>
      </c>
    </row>
    <row r="38">
      <c r="A38" s="15" t="inlineStr">
        <is>
          <t>K-037</t>
        </is>
      </c>
      <c r="B38" s="15" t="inlineStr">
        <is>
          <t>万代ホーム株式会社</t>
        </is>
      </c>
      <c r="C38" s="15" t="inlineStr">
        <is>
          <t>濵田 龍太郎</t>
        </is>
      </c>
      <c r="D38" s="15" t="inlineStr"/>
      <c r="E38" s="15" t="inlineStr">
        <is>
          <t>099-202-0121</t>
        </is>
      </c>
      <c r="F38" s="15" t="inlineStr"/>
      <c r="G38" s="15" t="inlineStr">
        <is>
          <t>都城市（鹿児島展開）</t>
        </is>
      </c>
      <c r="H38" s="15" t="inlineStr"/>
      <c r="I38" s="15" t="inlineStr"/>
      <c r="J38" s="15" t="inlineStr"/>
      <c r="K38" s="15" t="inlineStr"/>
      <c r="L38" s="15" t="inlineStr"/>
      <c r="M38" s="15" t="inlineStr"/>
      <c r="N38" s="15" t="inlineStr"/>
      <c r="O38" s="15" t="inlineStr"/>
      <c r="P38" s="15" t="inlineStr"/>
      <c r="Q38" s="15" t="inlineStr"/>
      <c r="R38" s="15" t="inlineStr"/>
      <c r="S38" s="15" t="inlineStr"/>
      <c r="T38" s="15" t="inlineStr">
        <is>
          <t>未コール</t>
        </is>
      </c>
      <c r="U38" s="15" t="inlineStr">
        <is>
          <t>右田</t>
        </is>
      </c>
      <c r="V38" s="15" t="inlineStr">
        <is>
          <t>創業昭和58年1月 資本金1,000万円 鹿児島MBC展示場あり</t>
        </is>
      </c>
    </row>
    <row r="39">
      <c r="A39" s="17" t="inlineStr">
        <is>
          <t>K-038</t>
        </is>
      </c>
      <c r="B39" s="17" t="inlineStr">
        <is>
          <t>ニシヤマホーム</t>
        </is>
      </c>
      <c r="C39" s="17" t="inlineStr">
        <is>
          <t>不明</t>
        </is>
      </c>
      <c r="D39" s="17" t="inlineStr"/>
      <c r="E39" s="17" t="inlineStr">
        <is>
          <t>不明</t>
        </is>
      </c>
      <c r="F39" s="17" t="inlineStr"/>
      <c r="G39" s="17" t="inlineStr">
        <is>
          <t>宮崎（鹿児島展開）</t>
        </is>
      </c>
      <c r="H39" s="17" t="inlineStr"/>
      <c r="I39" s="17" t="inlineStr"/>
      <c r="J39" s="17" t="inlineStr"/>
      <c r="K39" s="17" t="inlineStr"/>
      <c r="L39" s="17" t="inlineStr"/>
      <c r="M39" s="17" t="inlineStr"/>
      <c r="N39" s="17" t="inlineStr"/>
      <c r="O39" s="17" t="inlineStr"/>
      <c r="P39" s="17" t="inlineStr"/>
      <c r="Q39" s="17" t="inlineStr"/>
      <c r="R39" s="17" t="inlineStr"/>
      <c r="S39" s="17" t="inlineStr"/>
      <c r="T39" s="17" t="inlineStr">
        <is>
          <t>未コール</t>
        </is>
      </c>
      <c r="U39" s="17" t="inlineStr">
        <is>
          <t>右田</t>
        </is>
      </c>
      <c r="V39" s="17" t="inlineStr">
        <is>
          <t>宮崎拠点 注文住宅・リフォーム・分譲住宅</t>
        </is>
      </c>
    </row>
    <row r="40">
      <c r="A40" s="15" t="inlineStr">
        <is>
          <t>K-039</t>
        </is>
      </c>
      <c r="B40" s="15" t="inlineStr">
        <is>
          <t>株式会社アリマコーポレーション</t>
        </is>
      </c>
      <c r="C40" s="15" t="inlineStr">
        <is>
          <t>有馬 正治</t>
        </is>
      </c>
      <c r="D40" s="15" t="inlineStr"/>
      <c r="E40" s="15" t="inlineStr">
        <is>
          <t>099-253-6115</t>
        </is>
      </c>
      <c r="F40" s="15" t="inlineStr"/>
      <c r="G40" s="15" t="inlineStr">
        <is>
          <t>鹿児島市</t>
        </is>
      </c>
      <c r="H40" s="15" t="inlineStr"/>
      <c r="I40" s="15" t="inlineStr"/>
      <c r="J40" s="15" t="inlineStr"/>
      <c r="K40" s="15" t="inlineStr"/>
      <c r="L40" s="15" t="inlineStr"/>
      <c r="M40" s="15" t="inlineStr"/>
      <c r="N40" s="15" t="inlineStr"/>
      <c r="O40" s="15" t="inlineStr"/>
      <c r="P40" s="15" t="inlineStr"/>
      <c r="Q40" s="15" t="inlineStr"/>
      <c r="R40" s="15" t="inlineStr"/>
      <c r="S40" s="15" t="inlineStr"/>
      <c r="T40" s="15" t="inlineStr">
        <is>
          <t>未コール</t>
        </is>
      </c>
      <c r="U40" s="15" t="inlineStr">
        <is>
          <t>右田</t>
        </is>
      </c>
      <c r="V40" s="15" t="inlineStr">
        <is>
          <t>資本金3,000万円 A+CRAFT HOMEブランド</t>
        </is>
      </c>
    </row>
    <row r="41">
      <c r="A41" s="17" t="inlineStr">
        <is>
          <t>K-040</t>
        </is>
      </c>
      <c r="B41" s="17" t="inlineStr">
        <is>
          <t>有限会社イヤダニ工務店</t>
        </is>
      </c>
      <c r="C41" s="17" t="inlineStr">
        <is>
          <t>袰谷 圭太</t>
        </is>
      </c>
      <c r="D41" s="17" t="inlineStr"/>
      <c r="E41" s="17" t="inlineStr">
        <is>
          <t>099-298-2883</t>
        </is>
      </c>
      <c r="F41" s="17" t="inlineStr"/>
      <c r="G41" s="17" t="inlineStr">
        <is>
          <t>鹿児島市</t>
        </is>
      </c>
      <c r="H41" s="17" t="inlineStr"/>
      <c r="I41" s="17" t="inlineStr"/>
      <c r="J41" s="17" t="inlineStr"/>
      <c r="K41" s="17" t="inlineStr"/>
      <c r="L41" s="17" t="inlineStr"/>
      <c r="M41" s="17" t="inlineStr"/>
      <c r="N41" s="17" t="inlineStr"/>
      <c r="O41" s="17" t="inlineStr"/>
      <c r="P41" s="17" t="inlineStr"/>
      <c r="Q41" s="17" t="inlineStr"/>
      <c r="R41" s="17" t="inlineStr"/>
      <c r="S41" s="17" t="inlineStr"/>
      <c r="T41" s="17" t="inlineStr">
        <is>
          <t>未コール</t>
        </is>
      </c>
      <c r="U41" s="17" t="inlineStr">
        <is>
          <t>右田</t>
        </is>
      </c>
      <c r="V41" s="17" t="inlineStr">
        <is>
          <t>創業平成4年8月 自由設計住宅・オリジナル家具</t>
        </is>
      </c>
    </row>
    <row r="42">
      <c r="A42" s="15" t="inlineStr">
        <is>
          <t>K-041</t>
        </is>
      </c>
      <c r="B42" s="15" t="inlineStr">
        <is>
          <t>株式会社シンケン</t>
        </is>
      </c>
      <c r="C42" s="15" t="inlineStr">
        <is>
          <t>迫 英德</t>
        </is>
      </c>
      <c r="D42" s="15" t="inlineStr"/>
      <c r="E42" s="15" t="inlineStr">
        <is>
          <t>099-286-0088</t>
        </is>
      </c>
      <c r="F42" s="15" t="inlineStr"/>
      <c r="G42" s="15" t="inlineStr">
        <is>
          <t>鹿児島市</t>
        </is>
      </c>
      <c r="H42" s="15" t="inlineStr"/>
      <c r="I42" s="15" t="inlineStr"/>
      <c r="J42" s="15" t="inlineStr"/>
      <c r="K42" s="15" t="inlineStr"/>
      <c r="L42" s="15" t="inlineStr"/>
      <c r="M42" s="15" t="inlineStr"/>
      <c r="N42" s="15" t="inlineStr"/>
      <c r="O42" s="15" t="inlineStr"/>
      <c r="P42" s="15" t="inlineStr"/>
      <c r="Q42" s="15" t="inlineStr"/>
      <c r="R42" s="15" t="inlineStr"/>
      <c r="S42" s="15" t="inlineStr"/>
      <c r="T42" s="15" t="inlineStr">
        <is>
          <t>未コール</t>
        </is>
      </c>
      <c r="U42" s="15" t="inlineStr">
        <is>
          <t>右田</t>
        </is>
      </c>
      <c r="V42" s="15" t="inlineStr">
        <is>
          <t>設立1977年 福岡・熊本にも展開 完成棟数ランキング11位</t>
        </is>
      </c>
    </row>
    <row r="43">
      <c r="A43" s="17" t="inlineStr">
        <is>
          <t>K-042</t>
        </is>
      </c>
      <c r="B43" s="17" t="inlineStr">
        <is>
          <t>ロイヤルホーム株式会社</t>
        </is>
      </c>
      <c r="C43" s="17" t="inlineStr">
        <is>
          <t>久保 範和</t>
        </is>
      </c>
      <c r="D43" s="17" t="inlineStr"/>
      <c r="E43" s="17" t="inlineStr">
        <is>
          <t>0995-73-5602</t>
        </is>
      </c>
      <c r="F43" s="17" t="inlineStr"/>
      <c r="G43" s="17" t="inlineStr">
        <is>
          <t>霧島市</t>
        </is>
      </c>
      <c r="H43" s="17" t="inlineStr"/>
      <c r="I43" s="17" t="inlineStr"/>
      <c r="J43" s="17" t="inlineStr"/>
      <c r="K43" s="17" t="inlineStr"/>
      <c r="L43" s="17" t="inlineStr"/>
      <c r="M43" s="17" t="inlineStr"/>
      <c r="N43" s="17" t="inlineStr"/>
      <c r="O43" s="17" t="inlineStr"/>
      <c r="P43" s="17" t="inlineStr"/>
      <c r="Q43" s="17" t="inlineStr"/>
      <c r="R43" s="17" t="inlineStr"/>
      <c r="S43" s="17" t="inlineStr"/>
      <c r="T43" s="17" t="inlineStr">
        <is>
          <t>未コール</t>
        </is>
      </c>
      <c r="U43" s="17" t="inlineStr">
        <is>
          <t>右田</t>
        </is>
      </c>
      <c r="V43" s="17" t="inlineStr">
        <is>
          <t>資本金1億円 テクノストラクチャー工法 完成棟数ランキング4位</t>
        </is>
      </c>
    </row>
    <row r="44">
      <c r="A44" s="15" t="inlineStr">
        <is>
          <t>K-043</t>
        </is>
      </c>
      <c r="B44" s="15" t="inlineStr">
        <is>
          <t>株式会社晃栄住宅</t>
        </is>
      </c>
      <c r="C44" s="15" t="inlineStr">
        <is>
          <t>仙田 次雄</t>
        </is>
      </c>
      <c r="D44" s="15" t="inlineStr"/>
      <c r="E44" s="15" t="inlineStr"/>
      <c r="F44" s="15" t="inlineStr"/>
      <c r="G44" s="15" t="inlineStr">
        <is>
          <t>鹿児島市</t>
        </is>
      </c>
      <c r="H44" s="15" t="inlineStr"/>
      <c r="I44" s="15" t="inlineStr"/>
      <c r="J44" s="15" t="inlineStr"/>
      <c r="K44" s="15" t="inlineStr"/>
      <c r="L44" s="15" t="inlineStr"/>
      <c r="M44" s="15" t="inlineStr"/>
      <c r="N44" s="15" t="inlineStr"/>
      <c r="O44" s="15" t="inlineStr"/>
      <c r="P44" s="15" t="inlineStr"/>
      <c r="Q44" s="15" t="inlineStr"/>
      <c r="R44" s="15" t="inlineStr"/>
      <c r="S44" s="15" t="inlineStr"/>
      <c r="T44" s="15" t="inlineStr">
        <is>
          <t>未コール</t>
        </is>
      </c>
      <c r="U44" s="15" t="inlineStr">
        <is>
          <t>右田</t>
        </is>
      </c>
      <c r="V44" s="15" t="inlineStr">
        <is>
          <t>設立平成元年 資本金9,999万円 鹿児島店・北店・霧島店・川内店・姶良店</t>
        </is>
      </c>
    </row>
    <row r="45">
      <c r="A45" s="17" t="inlineStr">
        <is>
          <t>K-044</t>
        </is>
      </c>
      <c r="B45" s="17" t="inlineStr">
        <is>
          <t>株式会社あいハウジング</t>
        </is>
      </c>
      <c r="C45" s="17" t="inlineStr">
        <is>
          <t>川崎 廣明</t>
        </is>
      </c>
      <c r="D45" s="17" t="inlineStr"/>
      <c r="E45" s="17" t="inlineStr">
        <is>
          <t>099-278-1111</t>
        </is>
      </c>
      <c r="F45" s="17" t="inlineStr"/>
      <c r="G45" s="17" t="inlineStr">
        <is>
          <t>鹿児島市</t>
        </is>
      </c>
      <c r="H45" s="17" t="inlineStr"/>
      <c r="I45" s="17" t="inlineStr"/>
      <c r="J45" s="17" t="inlineStr"/>
      <c r="K45" s="17" t="inlineStr"/>
      <c r="L45" s="17" t="inlineStr"/>
      <c r="M45" s="17" t="inlineStr"/>
      <c r="N45" s="17" t="inlineStr"/>
      <c r="O45" s="17" t="inlineStr"/>
      <c r="P45" s="17" t="inlineStr"/>
      <c r="Q45" s="17" t="inlineStr"/>
      <c r="R45" s="17" t="inlineStr"/>
      <c r="S45" s="17" t="inlineStr"/>
      <c r="T45" s="17" t="inlineStr">
        <is>
          <t>未コール</t>
        </is>
      </c>
      <c r="U45" s="17" t="inlineStr">
        <is>
          <t>右田</t>
        </is>
      </c>
      <c r="V45" s="17" t="inlineStr">
        <is>
          <t>宅地造成から建売・注文住宅・アフターまで一貫体制 完成棟数ランキング12位</t>
        </is>
      </c>
    </row>
    <row r="46">
      <c r="A46" s="15" t="inlineStr">
        <is>
          <t>K-045</t>
        </is>
      </c>
      <c r="B46" s="15" t="inlineStr">
        <is>
          <t>有限会社中央ハウス</t>
        </is>
      </c>
      <c r="C46" s="15" t="inlineStr">
        <is>
          <t>金氣 昇造</t>
        </is>
      </c>
      <c r="D46" s="15" t="inlineStr"/>
      <c r="E46" s="15" t="inlineStr"/>
      <c r="F46" s="15" t="inlineStr"/>
      <c r="G46" s="15" t="inlineStr">
        <is>
          <t>鹿児島市</t>
        </is>
      </c>
      <c r="H46" s="15" t="inlineStr"/>
      <c r="I46" s="15" t="inlineStr"/>
      <c r="J46" s="15" t="inlineStr"/>
      <c r="K46" s="15" t="inlineStr"/>
      <c r="L46" s="15" t="inlineStr"/>
      <c r="M46" s="15" t="inlineStr"/>
      <c r="N46" s="15" t="inlineStr"/>
      <c r="O46" s="15" t="inlineStr"/>
      <c r="P46" s="15" t="inlineStr"/>
      <c r="Q46" s="15" t="inlineStr"/>
      <c r="R46" s="15" t="inlineStr"/>
      <c r="S46" s="15" t="inlineStr"/>
      <c r="T46" s="15" t="inlineStr">
        <is>
          <t>未コール</t>
        </is>
      </c>
      <c r="U46" s="15" t="inlineStr">
        <is>
          <t>右田</t>
        </is>
      </c>
      <c r="V46" s="15" t="inlineStr">
        <is>
          <t>1987年創業 総合不動産業35年以上 完成棟数ランキング20位</t>
        </is>
      </c>
    </row>
    <row r="47">
      <c r="A47" s="17" t="inlineStr">
        <is>
          <t>K-046</t>
        </is>
      </c>
      <c r="B47" s="17" t="inlineStr">
        <is>
          <t>株式会社シースタイル</t>
        </is>
      </c>
      <c r="C47" s="17" t="inlineStr">
        <is>
          <t>今村 卓也</t>
        </is>
      </c>
      <c r="D47" s="17" t="inlineStr"/>
      <c r="E47" s="17" t="inlineStr">
        <is>
          <t>099-295-4888</t>
        </is>
      </c>
      <c r="F47" s="17" t="inlineStr"/>
      <c r="G47" s="17" t="inlineStr">
        <is>
          <t>鹿児島市</t>
        </is>
      </c>
      <c r="H47" s="17" t="inlineStr"/>
      <c r="I47" s="17" t="inlineStr"/>
      <c r="J47" s="17" t="inlineStr"/>
      <c r="K47" s="17" t="inlineStr"/>
      <c r="L47" s="17" t="inlineStr"/>
      <c r="M47" s="17" t="inlineStr"/>
      <c r="N47" s="17" t="inlineStr"/>
      <c r="O47" s="17" t="inlineStr"/>
      <c r="P47" s="17" t="inlineStr"/>
      <c r="Q47" s="17" t="inlineStr"/>
      <c r="R47" s="17" t="inlineStr"/>
      <c r="S47" s="17" t="inlineStr"/>
      <c r="T47" s="17" t="inlineStr">
        <is>
          <t>未コール</t>
        </is>
      </c>
      <c r="U47" s="17" t="inlineStr">
        <is>
          <t>右田</t>
        </is>
      </c>
      <c r="V47" s="17" t="inlineStr">
        <is>
          <t>資本金1,000万円 屋上庭園付住宅 完成棟数ランキング24位</t>
        </is>
      </c>
    </row>
    <row r="48">
      <c r="A48" s="15" t="inlineStr">
        <is>
          <t>K-047</t>
        </is>
      </c>
      <c r="B48" s="15" t="inlineStr">
        <is>
          <t>株式会社粹家創房（イキヤソウボウ）</t>
        </is>
      </c>
      <c r="C48" s="15" t="inlineStr">
        <is>
          <t>冨ヶ原 陽介</t>
        </is>
      </c>
      <c r="D48" s="15" t="inlineStr"/>
      <c r="E48" s="15" t="inlineStr">
        <is>
          <t>099-278-7003</t>
        </is>
      </c>
      <c r="F48" s="15" t="inlineStr"/>
      <c r="G48" s="15" t="inlineStr">
        <is>
          <t>鹿児島市</t>
        </is>
      </c>
      <c r="H48" s="15" t="inlineStr"/>
      <c r="I48" s="15" t="inlineStr"/>
      <c r="J48" s="15" t="inlineStr"/>
      <c r="K48" s="15" t="inlineStr"/>
      <c r="L48" s="15" t="inlineStr"/>
      <c r="M48" s="15" t="inlineStr"/>
      <c r="N48" s="15" t="inlineStr"/>
      <c r="O48" s="15" t="inlineStr"/>
      <c r="P48" s="15" t="inlineStr"/>
      <c r="Q48" s="15" t="inlineStr"/>
      <c r="R48" s="15" t="inlineStr"/>
      <c r="S48" s="15" t="inlineStr"/>
      <c r="T48" s="15" t="inlineStr">
        <is>
          <t>未コール</t>
        </is>
      </c>
      <c r="U48" s="15" t="inlineStr">
        <is>
          <t>右田</t>
        </is>
      </c>
      <c r="V48" s="15" t="inlineStr">
        <is>
          <t>2003年創業 環境配慮・無垢材の家づくり 完成棟数ランキング26位</t>
        </is>
      </c>
    </row>
    <row r="49">
      <c r="A49" s="17" t="inlineStr">
        <is>
          <t>K-048</t>
        </is>
      </c>
      <c r="B49" s="17" t="inlineStr">
        <is>
          <t>南日本ハウス株式会社</t>
        </is>
      </c>
      <c r="C49" s="17" t="inlineStr">
        <is>
          <t>元山 豊二</t>
        </is>
      </c>
      <c r="D49" s="17" t="inlineStr"/>
      <c r="E49" s="17" t="inlineStr">
        <is>
          <t>099-285-0888</t>
        </is>
      </c>
      <c r="F49" s="17" t="inlineStr"/>
      <c r="G49" s="17" t="inlineStr">
        <is>
          <t>鹿児島市</t>
        </is>
      </c>
      <c r="H49" s="17" t="inlineStr"/>
      <c r="I49" s="17" t="inlineStr"/>
      <c r="J49" s="17" t="inlineStr"/>
      <c r="K49" s="17" t="inlineStr"/>
      <c r="L49" s="17" t="inlineStr"/>
      <c r="M49" s="17" t="inlineStr"/>
      <c r="N49" s="17" t="inlineStr"/>
      <c r="O49" s="17" t="inlineStr"/>
      <c r="P49" s="17" t="inlineStr"/>
      <c r="Q49" s="17" t="inlineStr"/>
      <c r="R49" s="17" t="inlineStr"/>
      <c r="S49" s="17" t="inlineStr"/>
      <c r="T49" s="17" t="inlineStr">
        <is>
          <t>未コール</t>
        </is>
      </c>
      <c r="U49" s="17" t="inlineStr">
        <is>
          <t>右田</t>
        </is>
      </c>
      <c r="V49" s="17" t="inlineStr">
        <is>
          <t>設立1985年 資本金5,000万円 売上高30億円 完成棟数ランキング21位</t>
        </is>
      </c>
    </row>
    <row r="50">
      <c r="A50" s="15" t="inlineStr">
        <is>
          <t>K-049</t>
        </is>
      </c>
      <c r="B50" s="15" t="inlineStr">
        <is>
          <t>株式会社正栄ハウス</t>
        </is>
      </c>
      <c r="C50" s="15" t="inlineStr"/>
      <c r="D50" s="15" t="inlineStr"/>
      <c r="E50" s="15" t="inlineStr">
        <is>
          <t>099-295-3401</t>
        </is>
      </c>
      <c r="F50" s="15" t="inlineStr"/>
      <c r="G50" s="15" t="inlineStr">
        <is>
          <t>鹿児島市</t>
        </is>
      </c>
      <c r="H50" s="15" t="inlineStr"/>
      <c r="I50" s="15" t="inlineStr"/>
      <c r="J50" s="15" t="inlineStr"/>
      <c r="K50" s="15" t="inlineStr"/>
      <c r="L50" s="15" t="inlineStr"/>
      <c r="M50" s="15" t="inlineStr"/>
      <c r="N50" s="15" t="inlineStr"/>
      <c r="O50" s="15" t="inlineStr"/>
      <c r="P50" s="15" t="inlineStr"/>
      <c r="Q50" s="15" t="inlineStr"/>
      <c r="R50" s="15" t="inlineStr"/>
      <c r="S50" s="15" t="inlineStr"/>
      <c r="T50" s="15" t="inlineStr">
        <is>
          <t>未コール</t>
        </is>
      </c>
      <c r="U50" s="15" t="inlineStr">
        <is>
          <t>右田</t>
        </is>
      </c>
      <c r="V50" s="15" t="inlineStr">
        <is>
          <t>従業員40名 完成棟数ランキング28位</t>
        </is>
      </c>
    </row>
    <row r="51">
      <c r="A51" s="17" t="inlineStr">
        <is>
          <t>K-050</t>
        </is>
      </c>
      <c r="B51" s="17" t="inlineStr">
        <is>
          <t>ニューイングホーム株式会社</t>
        </is>
      </c>
      <c r="C51" s="17" t="inlineStr">
        <is>
          <t>豊福 久二</t>
        </is>
      </c>
      <c r="D51" s="17" t="inlineStr"/>
      <c r="E51" s="17" t="inlineStr">
        <is>
          <t>0995-48-5388</t>
        </is>
      </c>
      <c r="F51" s="17" t="inlineStr"/>
      <c r="G51" s="17" t="inlineStr">
        <is>
          <t>霧島市</t>
        </is>
      </c>
      <c r="H51" s="17" t="inlineStr"/>
      <c r="I51" s="17" t="inlineStr"/>
      <c r="J51" s="17" t="inlineStr"/>
      <c r="K51" s="17" t="inlineStr"/>
      <c r="L51" s="17" t="inlineStr"/>
      <c r="M51" s="17" t="inlineStr"/>
      <c r="N51" s="17" t="inlineStr"/>
      <c r="O51" s="17" t="inlineStr"/>
      <c r="P51" s="17" t="inlineStr"/>
      <c r="Q51" s="17" t="inlineStr"/>
      <c r="R51" s="17" t="inlineStr"/>
      <c r="S51" s="17" t="inlineStr"/>
      <c r="T51" s="17" t="inlineStr">
        <is>
          <t>未コール</t>
        </is>
      </c>
      <c r="U51" s="17" t="inlineStr">
        <is>
          <t>右田</t>
        </is>
      </c>
      <c r="V51" s="17" t="inlineStr">
        <is>
          <t>社員大工による家づくり 完成棟数ランキング31位</t>
        </is>
      </c>
    </row>
    <row r="52">
      <c r="A52" s="15" t="inlineStr">
        <is>
          <t>K-051</t>
        </is>
      </c>
      <c r="B52" s="15" t="inlineStr">
        <is>
          <t>株式会社アートホーム</t>
        </is>
      </c>
      <c r="C52" s="15" t="inlineStr">
        <is>
          <t>藤山 浩一</t>
        </is>
      </c>
      <c r="D52" s="15" t="inlineStr"/>
      <c r="E52" s="15" t="inlineStr">
        <is>
          <t>099-252-8100</t>
        </is>
      </c>
      <c r="F52" s="15" t="inlineStr"/>
      <c r="G52" s="15" t="inlineStr">
        <is>
          <t>鹿児島市</t>
        </is>
      </c>
      <c r="H52" s="15" t="inlineStr"/>
      <c r="I52" s="15" t="inlineStr"/>
      <c r="J52" s="15" t="inlineStr"/>
      <c r="K52" s="15" t="inlineStr"/>
      <c r="L52" s="15" t="inlineStr"/>
      <c r="M52" s="15" t="inlineStr"/>
      <c r="N52" s="15" t="inlineStr"/>
      <c r="O52" s="15" t="inlineStr"/>
      <c r="P52" s="15" t="inlineStr"/>
      <c r="Q52" s="15" t="inlineStr"/>
      <c r="R52" s="15" t="inlineStr"/>
      <c r="S52" s="15" t="inlineStr"/>
      <c r="T52" s="15" t="inlineStr">
        <is>
          <t>未コール</t>
        </is>
      </c>
      <c r="U52" s="15" t="inlineStr">
        <is>
          <t>右田</t>
        </is>
      </c>
      <c r="V52" s="15" t="inlineStr">
        <is>
          <t>設立昭和63年 資本金3,000万円 売上高16億円 完成棟数ランキング24位</t>
        </is>
      </c>
    </row>
    <row r="53">
      <c r="A53" s="17" t="inlineStr">
        <is>
          <t>K-052</t>
        </is>
      </c>
      <c r="B53" s="17" t="inlineStr">
        <is>
          <t>株式会社継南建設</t>
        </is>
      </c>
      <c r="C53" s="17" t="inlineStr">
        <is>
          <t>永井 雅友</t>
        </is>
      </c>
      <c r="D53" s="17" t="inlineStr"/>
      <c r="E53" s="17" t="inlineStr">
        <is>
          <t>0995-42-3207</t>
        </is>
      </c>
      <c r="F53" s="17" t="inlineStr"/>
      <c r="G53" s="17" t="inlineStr">
        <is>
          <t>霧島市</t>
        </is>
      </c>
      <c r="H53" s="17" t="inlineStr"/>
      <c r="I53" s="17" t="inlineStr"/>
      <c r="J53" s="17" t="inlineStr"/>
      <c r="K53" s="17" t="inlineStr"/>
      <c r="L53" s="17" t="inlineStr"/>
      <c r="M53" s="17" t="inlineStr"/>
      <c r="N53" s="17" t="inlineStr"/>
      <c r="O53" s="17" t="inlineStr"/>
      <c r="P53" s="17" t="inlineStr"/>
      <c r="Q53" s="17" t="inlineStr"/>
      <c r="R53" s="17" t="inlineStr"/>
      <c r="S53" s="17" t="inlineStr"/>
      <c r="T53" s="17" t="inlineStr">
        <is>
          <t>未コール</t>
        </is>
      </c>
      <c r="U53" s="17" t="inlineStr">
        <is>
          <t>右田</t>
        </is>
      </c>
      <c r="V53" s="17" t="inlineStr">
        <is>
          <t>40年以上の歴史 注文住宅専門 完成棟数ランキング35位</t>
        </is>
      </c>
    </row>
    <row r="54">
      <c r="A54" s="15" t="inlineStr">
        <is>
          <t>K-053</t>
        </is>
      </c>
      <c r="B54" s="15" t="inlineStr">
        <is>
          <t>株式会社松下孝建設</t>
        </is>
      </c>
      <c r="C54" s="15" t="inlineStr">
        <is>
          <t>松下 拓也</t>
        </is>
      </c>
      <c r="D54" s="15" t="inlineStr"/>
      <c r="E54" s="15" t="inlineStr">
        <is>
          <t>099-267-7594</t>
        </is>
      </c>
      <c r="F54" s="15" t="inlineStr"/>
      <c r="G54" s="15" t="inlineStr">
        <is>
          <t>鹿児島市</t>
        </is>
      </c>
      <c r="H54" s="15" t="inlineStr"/>
      <c r="I54" s="15" t="inlineStr"/>
      <c r="J54" s="15" t="inlineStr"/>
      <c r="K54" s="15" t="inlineStr"/>
      <c r="L54" s="15" t="inlineStr"/>
      <c r="M54" s="15" t="inlineStr"/>
      <c r="N54" s="15" t="inlineStr"/>
      <c r="O54" s="15" t="inlineStr"/>
      <c r="P54" s="15" t="inlineStr"/>
      <c r="Q54" s="15" t="inlineStr"/>
      <c r="R54" s="15" t="inlineStr"/>
      <c r="S54" s="15" t="inlineStr"/>
      <c r="T54" s="15" t="inlineStr">
        <is>
          <t>未コール</t>
        </is>
      </c>
      <c r="U54" s="15" t="inlineStr">
        <is>
          <t>右田</t>
        </is>
      </c>
      <c r="V54" s="15" t="inlineStr">
        <is>
          <t>設立昭和58年 資本金1,000万円 従業員18名 完成棟数ランキング35位</t>
        </is>
      </c>
    </row>
    <row r="55">
      <c r="A55" s="17" t="inlineStr">
        <is>
          <t>K-054</t>
        </is>
      </c>
      <c r="B55" s="17" t="inlineStr">
        <is>
          <t>株式会社タイセイ工務店</t>
        </is>
      </c>
      <c r="C55" s="17" t="inlineStr">
        <is>
          <t>大田 輝美</t>
        </is>
      </c>
      <c r="D55" s="17" t="inlineStr"/>
      <c r="E55" s="17" t="inlineStr">
        <is>
          <t>0996-72-0014</t>
        </is>
      </c>
      <c r="F55" s="17" t="inlineStr"/>
      <c r="G55" s="17" t="inlineStr">
        <is>
          <t>阿久根市</t>
        </is>
      </c>
      <c r="H55" s="17" t="inlineStr"/>
      <c r="I55" s="17" t="inlineStr"/>
      <c r="J55" s="17" t="inlineStr"/>
      <c r="K55" s="17" t="inlineStr"/>
      <c r="L55" s="17" t="inlineStr"/>
      <c r="M55" s="17" t="inlineStr"/>
      <c r="N55" s="17" t="inlineStr"/>
      <c r="O55" s="17" t="inlineStr"/>
      <c r="P55" s="17" t="inlineStr"/>
      <c r="Q55" s="17" t="inlineStr"/>
      <c r="R55" s="17" t="inlineStr"/>
      <c r="S55" s="17" t="inlineStr"/>
      <c r="T55" s="17" t="inlineStr">
        <is>
          <t>未コール</t>
        </is>
      </c>
      <c r="U55" s="17" t="inlineStr">
        <is>
          <t>右田</t>
        </is>
      </c>
      <c r="V55" s="17" t="inlineStr">
        <is>
          <t>創業1966年 資本金2,000万円 従業員40名 年間新築30棟 完成棟数ランキング38位</t>
        </is>
      </c>
    </row>
    <row r="56">
      <c r="A56" s="15" t="inlineStr">
        <is>
          <t>K-055</t>
        </is>
      </c>
      <c r="B56" s="15" t="inlineStr">
        <is>
          <t>株式会社ARK HOME</t>
        </is>
      </c>
      <c r="C56" s="15" t="inlineStr"/>
      <c r="D56" s="15" t="inlineStr"/>
      <c r="E56" s="15" t="inlineStr">
        <is>
          <t>099-472-0052</t>
        </is>
      </c>
      <c r="F56" s="15" t="inlineStr"/>
      <c r="G56" s="15" t="inlineStr">
        <is>
          <t>志布志市</t>
        </is>
      </c>
      <c r="H56" s="15" t="inlineStr"/>
      <c r="I56" s="15" t="inlineStr"/>
      <c r="J56" s="15" t="inlineStr"/>
      <c r="K56" s="15" t="inlineStr"/>
      <c r="L56" s="15" t="inlineStr"/>
      <c r="M56" s="15" t="inlineStr"/>
      <c r="N56" s="15" t="inlineStr"/>
      <c r="O56" s="15" t="inlineStr"/>
      <c r="P56" s="15" t="inlineStr"/>
      <c r="Q56" s="15" t="inlineStr"/>
      <c r="R56" s="15" t="inlineStr"/>
      <c r="S56" s="15" t="inlineStr"/>
      <c r="T56" s="15" t="inlineStr">
        <is>
          <t>未コール</t>
        </is>
      </c>
      <c r="U56" s="15" t="inlineStr">
        <is>
          <t>右田</t>
        </is>
      </c>
      <c r="V56" s="15" t="inlineStr">
        <is>
          <t>設立2016年 高気密高断熱パッシブデザイン 完成棟数ランキング39位</t>
        </is>
      </c>
    </row>
    <row r="57">
      <c r="A57" s="17" t="inlineStr">
        <is>
          <t>K-056</t>
        </is>
      </c>
      <c r="B57" s="17" t="inlineStr">
        <is>
          <t>株式会社エヌワン開発</t>
        </is>
      </c>
      <c r="C57" s="17" t="inlineStr">
        <is>
          <t>宮上 辰也</t>
        </is>
      </c>
      <c r="D57" s="17" t="inlineStr"/>
      <c r="E57" s="17" t="inlineStr">
        <is>
          <t>099-255-0170</t>
        </is>
      </c>
      <c r="F57" s="17" t="inlineStr"/>
      <c r="G57" s="17" t="inlineStr">
        <is>
          <t>鹿児島市</t>
        </is>
      </c>
      <c r="H57" s="17" t="inlineStr"/>
      <c r="I57" s="17" t="inlineStr"/>
      <c r="J57" s="17" t="inlineStr"/>
      <c r="K57" s="17" t="inlineStr"/>
      <c r="L57" s="17" t="inlineStr"/>
      <c r="M57" s="17" t="inlineStr"/>
      <c r="N57" s="17" t="inlineStr"/>
      <c r="O57" s="17" t="inlineStr"/>
      <c r="P57" s="17" t="inlineStr"/>
      <c r="Q57" s="17" t="inlineStr"/>
      <c r="R57" s="17" t="inlineStr"/>
      <c r="S57" s="17" t="inlineStr"/>
      <c r="T57" s="17" t="inlineStr">
        <is>
          <t>未コール</t>
        </is>
      </c>
      <c r="U57" s="17" t="inlineStr">
        <is>
          <t>右田</t>
        </is>
      </c>
      <c r="V57" s="17" t="inlineStr">
        <is>
          <t>不動産業・住宅建設 完成棟数ランキング39位</t>
        </is>
      </c>
    </row>
    <row r="58">
      <c r="A58" s="15" t="inlineStr">
        <is>
          <t>K-057</t>
        </is>
      </c>
      <c r="B58" s="15" t="inlineStr">
        <is>
          <t>株式会社グッドホームかごしま</t>
        </is>
      </c>
      <c r="C58" s="15" t="inlineStr"/>
      <c r="D58" s="15" t="inlineStr"/>
      <c r="E58" s="15" t="inlineStr">
        <is>
          <t>099-220-4505</t>
        </is>
      </c>
      <c r="F58" s="15" t="inlineStr"/>
      <c r="G58" s="15" t="inlineStr">
        <is>
          <t>鹿児島市</t>
        </is>
      </c>
      <c r="H58" s="15" t="inlineStr"/>
      <c r="I58" s="15" t="inlineStr"/>
      <c r="J58" s="15" t="inlineStr"/>
      <c r="K58" s="15" t="inlineStr"/>
      <c r="L58" s="15" t="inlineStr"/>
      <c r="M58" s="15" t="inlineStr"/>
      <c r="N58" s="15" t="inlineStr"/>
      <c r="O58" s="15" t="inlineStr"/>
      <c r="P58" s="15" t="inlineStr"/>
      <c r="Q58" s="15" t="inlineStr"/>
      <c r="R58" s="15" t="inlineStr"/>
      <c r="S58" s="15" t="inlineStr"/>
      <c r="T58" s="15" t="inlineStr">
        <is>
          <t>未コール</t>
        </is>
      </c>
      <c r="U58" s="15" t="inlineStr">
        <is>
          <t>右田</t>
        </is>
      </c>
      <c r="V58" s="15" t="inlineStr">
        <is>
          <t>漆喰と無垢の自然素材の家 完成棟数ランキング39位</t>
        </is>
      </c>
    </row>
    <row r="59">
      <c r="A59" s="17" t="inlineStr">
        <is>
          <t>K-058</t>
        </is>
      </c>
      <c r="B59" s="17" t="inlineStr">
        <is>
          <t>株式会社県民住宅</t>
        </is>
      </c>
      <c r="C59" s="17" t="inlineStr">
        <is>
          <t>下津 春美</t>
        </is>
      </c>
      <c r="D59" s="17" t="inlineStr"/>
      <c r="E59" s="17" t="inlineStr">
        <is>
          <t>099-268-5488</t>
        </is>
      </c>
      <c r="F59" s="17" t="inlineStr"/>
      <c r="G59" s="17" t="inlineStr">
        <is>
          <t>鹿児島市</t>
        </is>
      </c>
      <c r="H59" s="17" t="inlineStr"/>
      <c r="I59" s="17" t="inlineStr"/>
      <c r="J59" s="17" t="inlineStr"/>
      <c r="K59" s="17" t="inlineStr"/>
      <c r="L59" s="17" t="inlineStr"/>
      <c r="M59" s="17" t="inlineStr"/>
      <c r="N59" s="17" t="inlineStr"/>
      <c r="O59" s="17" t="inlineStr"/>
      <c r="P59" s="17" t="inlineStr"/>
      <c r="Q59" s="17" t="inlineStr"/>
      <c r="R59" s="17" t="inlineStr"/>
      <c r="S59" s="17" t="inlineStr"/>
      <c r="T59" s="17" t="inlineStr">
        <is>
          <t>未コール</t>
        </is>
      </c>
      <c r="U59" s="17" t="inlineStr">
        <is>
          <t>右田</t>
        </is>
      </c>
      <c r="V59" s="17" t="inlineStr">
        <is>
          <t>創業昭和45年 資本金2,000万円 省エネ・高気密高断熱住宅 完成棟数ランキング39位</t>
        </is>
      </c>
    </row>
    <row r="60">
      <c r="A60" s="15" t="inlineStr">
        <is>
          <t>K-059</t>
        </is>
      </c>
      <c r="B60" s="15" t="inlineStr">
        <is>
          <t>秋岡ハウジング有限会社</t>
        </is>
      </c>
      <c r="C60" s="15" t="inlineStr">
        <is>
          <t>馬込 久志</t>
        </is>
      </c>
      <c r="D60" s="15" t="inlineStr"/>
      <c r="E60" s="15" t="inlineStr">
        <is>
          <t>0994-44-8538</t>
        </is>
      </c>
      <c r="F60" s="15" t="inlineStr"/>
      <c r="G60" s="15" t="inlineStr">
        <is>
          <t>鹿屋市</t>
        </is>
      </c>
      <c r="H60" s="15" t="inlineStr"/>
      <c r="I60" s="15" t="inlineStr"/>
      <c r="J60" s="15" t="inlineStr"/>
      <c r="K60" s="15" t="inlineStr"/>
      <c r="L60" s="15" t="inlineStr"/>
      <c r="M60" s="15" t="inlineStr"/>
      <c r="N60" s="15" t="inlineStr"/>
      <c r="O60" s="15" t="inlineStr"/>
      <c r="P60" s="15" t="inlineStr"/>
      <c r="Q60" s="15" t="inlineStr"/>
      <c r="R60" s="15" t="inlineStr"/>
      <c r="S60" s="15" t="inlineStr"/>
      <c r="T60" s="15" t="inlineStr">
        <is>
          <t>未コール</t>
        </is>
      </c>
      <c r="U60" s="15" t="inlineStr">
        <is>
          <t>右田</t>
        </is>
      </c>
      <c r="V60" s="15" t="inlineStr">
        <is>
          <t>30年以上の実績 ロイヤルハウス大隅鹿屋店 完成棟数ランキング43位</t>
        </is>
      </c>
    </row>
    <row r="61">
      <c r="A61" s="17" t="inlineStr">
        <is>
          <t>K-060</t>
        </is>
      </c>
      <c r="B61" s="17" t="inlineStr">
        <is>
          <t>株式会社さくらハウジング</t>
        </is>
      </c>
      <c r="C61" s="17" t="inlineStr">
        <is>
          <t>古川 和人</t>
        </is>
      </c>
      <c r="D61" s="17" t="inlineStr"/>
      <c r="E61" s="17" t="inlineStr">
        <is>
          <t>099-805-1121</t>
        </is>
      </c>
      <c r="F61" s="17" t="inlineStr"/>
      <c r="G61" s="17" t="inlineStr">
        <is>
          <t>鹿児島市</t>
        </is>
      </c>
      <c r="H61" s="17" t="inlineStr"/>
      <c r="I61" s="17" t="inlineStr"/>
      <c r="J61" s="17" t="inlineStr"/>
      <c r="K61" s="17" t="inlineStr"/>
      <c r="L61" s="17" t="inlineStr"/>
      <c r="M61" s="17" t="inlineStr"/>
      <c r="N61" s="17" t="inlineStr"/>
      <c r="O61" s="17" t="inlineStr"/>
      <c r="P61" s="17" t="inlineStr"/>
      <c r="Q61" s="17" t="inlineStr"/>
      <c r="R61" s="17" t="inlineStr"/>
      <c r="S61" s="17" t="inlineStr"/>
      <c r="T61" s="17" t="inlineStr">
        <is>
          <t>未コール</t>
        </is>
      </c>
      <c r="U61" s="17" t="inlineStr">
        <is>
          <t>右田</t>
        </is>
      </c>
      <c r="V61" s="17" t="inlineStr">
        <is>
          <t>設立平成15年 不動産販売・住宅建築 完成棟数ランキング43位</t>
        </is>
      </c>
    </row>
    <row r="62">
      <c r="A62" s="15" t="inlineStr">
        <is>
          <t>K-061</t>
        </is>
      </c>
      <c r="B62" s="15" t="inlineStr">
        <is>
          <t>深田建設株式会社</t>
        </is>
      </c>
      <c r="C62" s="15" t="inlineStr"/>
      <c r="D62" s="15" t="inlineStr"/>
      <c r="E62" s="15" t="inlineStr"/>
      <c r="F62" s="15" t="inlineStr"/>
      <c r="G62" s="15" t="inlineStr">
        <is>
          <t>奄美市</t>
        </is>
      </c>
      <c r="H62" s="15" t="inlineStr"/>
      <c r="I62" s="15" t="inlineStr"/>
      <c r="J62" s="15" t="inlineStr"/>
      <c r="K62" s="15" t="inlineStr"/>
      <c r="L62" s="15" t="inlineStr"/>
      <c r="M62" s="15" t="inlineStr"/>
      <c r="N62" s="15" t="inlineStr"/>
      <c r="O62" s="15" t="inlineStr"/>
      <c r="P62" s="15" t="inlineStr"/>
      <c r="Q62" s="15" t="inlineStr"/>
      <c r="R62" s="15" t="inlineStr"/>
      <c r="S62" s="15" t="inlineStr"/>
      <c r="T62" s="15" t="inlineStr">
        <is>
          <t>未コール</t>
        </is>
      </c>
      <c r="U62" s="15" t="inlineStr">
        <is>
          <t>右田</t>
        </is>
      </c>
      <c r="V62" s="15" t="inlineStr">
        <is>
          <t>マザーホームブランド 奄美大島の住宅建築 完成棟数ランキング43位</t>
        </is>
      </c>
    </row>
    <row r="63">
      <c r="A63" s="17" t="inlineStr">
        <is>
          <t>K-062</t>
        </is>
      </c>
      <c r="B63" s="17" t="inlineStr">
        <is>
          <t>有限会社前迫建設</t>
        </is>
      </c>
      <c r="C63" s="17" t="inlineStr">
        <is>
          <t>前迫 智博</t>
        </is>
      </c>
      <c r="D63" s="17" t="inlineStr"/>
      <c r="E63" s="17" t="inlineStr">
        <is>
          <t>0120-76-1784</t>
        </is>
      </c>
      <c r="F63" s="17" t="inlineStr"/>
      <c r="G63" s="17" t="inlineStr">
        <is>
          <t>大崎町</t>
        </is>
      </c>
      <c r="H63" s="17" t="inlineStr"/>
      <c r="I63" s="17" t="inlineStr"/>
      <c r="J63" s="17" t="inlineStr"/>
      <c r="K63" s="17" t="inlineStr"/>
      <c r="L63" s="17" t="inlineStr"/>
      <c r="M63" s="17" t="inlineStr"/>
      <c r="N63" s="17" t="inlineStr"/>
      <c r="O63" s="17" t="inlineStr"/>
      <c r="P63" s="17" t="inlineStr"/>
      <c r="Q63" s="17" t="inlineStr"/>
      <c r="R63" s="17" t="inlineStr"/>
      <c r="S63" s="17" t="inlineStr"/>
      <c r="T63" s="17" t="inlineStr">
        <is>
          <t>未コール</t>
        </is>
      </c>
      <c r="U63" s="17" t="inlineStr">
        <is>
          <t>右田</t>
        </is>
      </c>
      <c r="V63" s="17" t="inlineStr">
        <is>
          <t>創業1988年 新築・リフォーム 完成棟数ランキング48位</t>
        </is>
      </c>
    </row>
    <row r="64">
      <c r="A64" s="15" t="inlineStr">
        <is>
          <t>K-063</t>
        </is>
      </c>
      <c r="B64" s="15" t="inlineStr">
        <is>
          <t>株式会社村岡工務店</t>
        </is>
      </c>
      <c r="C64" s="15" t="inlineStr"/>
      <c r="D64" s="15" t="inlineStr"/>
      <c r="E64" s="15" t="inlineStr">
        <is>
          <t>099-478-3636</t>
        </is>
      </c>
      <c r="F64" s="15" t="inlineStr"/>
      <c r="G64" s="15" t="inlineStr">
        <is>
          <t>大崎町</t>
        </is>
      </c>
      <c r="H64" s="15" t="inlineStr"/>
      <c r="I64" s="15" t="inlineStr"/>
      <c r="J64" s="15" t="inlineStr"/>
      <c r="K64" s="15" t="inlineStr"/>
      <c r="L64" s="15" t="inlineStr"/>
      <c r="M64" s="15" t="inlineStr"/>
      <c r="N64" s="15" t="inlineStr"/>
      <c r="O64" s="15" t="inlineStr"/>
      <c r="P64" s="15" t="inlineStr"/>
      <c r="Q64" s="15" t="inlineStr"/>
      <c r="R64" s="15" t="inlineStr"/>
      <c r="S64" s="15" t="inlineStr"/>
      <c r="T64" s="15" t="inlineStr">
        <is>
          <t>未コール</t>
        </is>
      </c>
      <c r="U64" s="15" t="inlineStr">
        <is>
          <t>右田</t>
        </is>
      </c>
      <c r="V64" s="15" t="inlineStr">
        <is>
          <t>創業50余年 大隅地域密着 完成棟数ランキング48位</t>
        </is>
      </c>
    </row>
    <row r="65">
      <c r="A65" s="17" t="inlineStr">
        <is>
          <t>K-064</t>
        </is>
      </c>
      <c r="B65" s="17" t="inlineStr">
        <is>
          <t>有限会社ヤマケン</t>
        </is>
      </c>
      <c r="C65" s="17" t="inlineStr">
        <is>
          <t>山元 建次</t>
        </is>
      </c>
      <c r="D65" s="17" t="inlineStr"/>
      <c r="E65" s="17" t="inlineStr">
        <is>
          <t>0994-43-3036</t>
        </is>
      </c>
      <c r="F65" s="17" t="inlineStr"/>
      <c r="G65" s="17" t="inlineStr">
        <is>
          <t>鹿屋市</t>
        </is>
      </c>
      <c r="H65" s="17" t="inlineStr"/>
      <c r="I65" s="17" t="inlineStr"/>
      <c r="J65" s="17" t="inlineStr"/>
      <c r="K65" s="17" t="inlineStr"/>
      <c r="L65" s="17" t="inlineStr"/>
      <c r="M65" s="17" t="inlineStr"/>
      <c r="N65" s="17" t="inlineStr"/>
      <c r="O65" s="17" t="inlineStr"/>
      <c r="P65" s="17" t="inlineStr"/>
      <c r="Q65" s="17" t="inlineStr"/>
      <c r="R65" s="17" t="inlineStr"/>
      <c r="S65" s="17" t="inlineStr"/>
      <c r="T65" s="17" t="inlineStr">
        <is>
          <t>未コール</t>
        </is>
      </c>
      <c r="U65" s="17" t="inlineStr">
        <is>
          <t>右田</t>
        </is>
      </c>
      <c r="V65" s="17" t="inlineStr">
        <is>
          <t>住宅・店舗の設計施工・リフォーム 完成棟数ランキング48位</t>
        </is>
      </c>
    </row>
    <row r="66">
      <c r="A66" s="15" t="inlineStr">
        <is>
          <t>K-065</t>
        </is>
      </c>
      <c r="B66" s="15" t="inlineStr">
        <is>
          <t>株式会社ダイワ工務店</t>
        </is>
      </c>
      <c r="C66" s="15" t="inlineStr">
        <is>
          <t>和田見 勝之</t>
        </is>
      </c>
      <c r="D66" s="15" t="inlineStr"/>
      <c r="E66" s="15" t="inlineStr">
        <is>
          <t>099-837-3616</t>
        </is>
      </c>
      <c r="F66" s="15" t="inlineStr"/>
      <c r="G66" s="15" t="inlineStr">
        <is>
          <t>鹿児島市</t>
        </is>
      </c>
      <c r="H66" s="15" t="inlineStr"/>
      <c r="I66" s="15" t="inlineStr"/>
      <c r="J66" s="15" t="inlineStr"/>
      <c r="K66" s="15" t="inlineStr"/>
      <c r="L66" s="15" t="inlineStr"/>
      <c r="M66" s="15" t="inlineStr"/>
      <c r="N66" s="15" t="inlineStr"/>
      <c r="O66" s="15" t="inlineStr"/>
      <c r="P66" s="15" t="inlineStr"/>
      <c r="Q66" s="15" t="inlineStr"/>
      <c r="R66" s="15" t="inlineStr"/>
      <c r="S66" s="15" t="inlineStr"/>
      <c r="T66" s="15" t="inlineStr">
        <is>
          <t>未コール</t>
        </is>
      </c>
      <c r="U66" s="15" t="inlineStr">
        <is>
          <t>右田</t>
        </is>
      </c>
      <c r="V66" s="15" t="inlineStr">
        <is>
          <t>創業2005年 海外デザイン住宅 新築・リフォーム・リノベーション</t>
        </is>
      </c>
    </row>
    <row r="67">
      <c r="A67" s="17" t="inlineStr">
        <is>
          <t>K-066</t>
        </is>
      </c>
      <c r="B67" s="17" t="inlineStr">
        <is>
          <t>株式会社Sin工房</t>
        </is>
      </c>
      <c r="C67" s="17" t="inlineStr">
        <is>
          <t>田口 慎一</t>
        </is>
      </c>
      <c r="D67" s="17" t="inlineStr"/>
      <c r="E67" s="17" t="inlineStr">
        <is>
          <t>099-268-1888</t>
        </is>
      </c>
      <c r="F67" s="17" t="inlineStr"/>
      <c r="G67" s="17" t="inlineStr">
        <is>
          <t>鹿児島市</t>
        </is>
      </c>
      <c r="H67" s="17" t="inlineStr"/>
      <c r="I67" s="17" t="inlineStr"/>
      <c r="J67" s="17" t="inlineStr"/>
      <c r="K67" s="17" t="inlineStr"/>
      <c r="L67" s="17" t="inlineStr"/>
      <c r="M67" s="17" t="inlineStr"/>
      <c r="N67" s="17" t="inlineStr"/>
      <c r="O67" s="17" t="inlineStr"/>
      <c r="P67" s="17" t="inlineStr"/>
      <c r="Q67" s="17" t="inlineStr"/>
      <c r="R67" s="17" t="inlineStr"/>
      <c r="S67" s="17" t="inlineStr"/>
      <c r="T67" s="17" t="inlineStr">
        <is>
          <t>未コール</t>
        </is>
      </c>
      <c r="U67" s="17" t="inlineStr">
        <is>
          <t>右田</t>
        </is>
      </c>
      <c r="V67" s="17" t="inlineStr">
        <is>
          <t>設立平成15年 自然素材と無垢材の注文住宅</t>
        </is>
      </c>
    </row>
    <row r="68">
      <c r="A68" s="15" t="inlineStr">
        <is>
          <t>K-067</t>
        </is>
      </c>
      <c r="B68" s="15" t="inlineStr">
        <is>
          <t>有限会社コアホーム</t>
        </is>
      </c>
      <c r="C68" s="15" t="inlineStr">
        <is>
          <t>佐多 正人</t>
        </is>
      </c>
      <c r="D68" s="15" t="inlineStr"/>
      <c r="E68" s="15" t="inlineStr">
        <is>
          <t>099-260-0635</t>
        </is>
      </c>
      <c r="F68" s="15" t="inlineStr"/>
      <c r="G68" s="15" t="inlineStr">
        <is>
          <t>鹿児島市</t>
        </is>
      </c>
      <c r="H68" s="15" t="inlineStr"/>
      <c r="I68" s="15" t="inlineStr"/>
      <c r="J68" s="15" t="inlineStr"/>
      <c r="K68" s="15" t="inlineStr"/>
      <c r="L68" s="15" t="inlineStr"/>
      <c r="M68" s="15" t="inlineStr"/>
      <c r="N68" s="15" t="inlineStr"/>
      <c r="O68" s="15" t="inlineStr"/>
      <c r="P68" s="15" t="inlineStr"/>
      <c r="Q68" s="15" t="inlineStr"/>
      <c r="R68" s="15" t="inlineStr"/>
      <c r="S68" s="15" t="inlineStr"/>
      <c r="T68" s="15" t="inlineStr">
        <is>
          <t>未コール</t>
        </is>
      </c>
      <c r="U68" s="15" t="inlineStr">
        <is>
          <t>右田</t>
        </is>
      </c>
      <c r="V68" s="15" t="inlineStr">
        <is>
          <t>30年以上谷山中心 注文住宅・不動産</t>
        </is>
      </c>
    </row>
    <row r="69">
      <c r="A69" s="17" t="inlineStr">
        <is>
          <t>K-068</t>
        </is>
      </c>
      <c r="B69" s="17" t="inlineStr">
        <is>
          <t>成尾建設株式会社</t>
        </is>
      </c>
      <c r="C69" s="17" t="inlineStr">
        <is>
          <t>成尾 岳次朗</t>
        </is>
      </c>
      <c r="D69" s="17" t="inlineStr"/>
      <c r="E69" s="17" t="inlineStr">
        <is>
          <t>099-253-9191</t>
        </is>
      </c>
      <c r="F69" s="17" t="inlineStr"/>
      <c r="G69" s="17" t="inlineStr">
        <is>
          <t>鹿児島市</t>
        </is>
      </c>
      <c r="H69" s="17" t="inlineStr"/>
      <c r="I69" s="17" t="inlineStr"/>
      <c r="J69" s="17" t="inlineStr"/>
      <c r="K69" s="17" t="inlineStr"/>
      <c r="L69" s="17" t="inlineStr"/>
      <c r="M69" s="17" t="inlineStr"/>
      <c r="N69" s="17" t="inlineStr"/>
      <c r="O69" s="17" t="inlineStr"/>
      <c r="P69" s="17" t="inlineStr"/>
      <c r="Q69" s="17" t="inlineStr"/>
      <c r="R69" s="17" t="inlineStr"/>
      <c r="S69" s="17" t="inlineStr"/>
      <c r="T69" s="17" t="inlineStr">
        <is>
          <t>未コール</t>
        </is>
      </c>
      <c r="U69" s="17" t="inlineStr">
        <is>
          <t>右田</t>
        </is>
      </c>
      <c r="V69" s="17" t="inlineStr">
        <is>
          <t>設立1971年 資本金2,025万円 R+house加盟 引渡800戸超</t>
        </is>
      </c>
    </row>
    <row r="70">
      <c r="A70" s="15" t="inlineStr">
        <is>
          <t>K-069</t>
        </is>
      </c>
      <c r="B70" s="15" t="inlineStr">
        <is>
          <t>株式会社三ツ矢ホーム</t>
        </is>
      </c>
      <c r="C70" s="15" t="inlineStr">
        <is>
          <t>松田 博文</t>
        </is>
      </c>
      <c r="D70" s="15" t="inlineStr"/>
      <c r="E70" s="15" t="inlineStr">
        <is>
          <t>099-227-0800</t>
        </is>
      </c>
      <c r="F70" s="15" t="inlineStr"/>
      <c r="G70" s="15" t="inlineStr">
        <is>
          <t>鹿児島市</t>
        </is>
      </c>
      <c r="H70" s="15" t="inlineStr"/>
      <c r="I70" s="15" t="inlineStr"/>
      <c r="J70" s="15" t="inlineStr"/>
      <c r="K70" s="15" t="inlineStr"/>
      <c r="L70" s="15" t="inlineStr"/>
      <c r="M70" s="15" t="inlineStr"/>
      <c r="N70" s="15" t="inlineStr"/>
      <c r="O70" s="15" t="inlineStr"/>
      <c r="P70" s="15" t="inlineStr"/>
      <c r="Q70" s="15" t="inlineStr"/>
      <c r="R70" s="15" t="inlineStr"/>
      <c r="S70" s="15" t="inlineStr"/>
      <c r="T70" s="15" t="inlineStr">
        <is>
          <t>未コール</t>
        </is>
      </c>
      <c r="U70" s="15" t="inlineStr">
        <is>
          <t>右田</t>
        </is>
      </c>
      <c r="V70" s="15" t="inlineStr">
        <is>
          <t>地域密着 新築分譲・注文住宅 完成棟数ランキング31位</t>
        </is>
      </c>
    </row>
    <row r="71">
      <c r="A71" s="17" t="inlineStr">
        <is>
          <t>K-070</t>
        </is>
      </c>
      <c r="B71" s="17" t="inlineStr">
        <is>
          <t>日泉建設株式会社</t>
        </is>
      </c>
      <c r="C71" s="17" t="inlineStr">
        <is>
          <t>泉 哲志</t>
        </is>
      </c>
      <c r="D71" s="17" t="inlineStr"/>
      <c r="E71" s="17" t="inlineStr">
        <is>
          <t>099-252-2109</t>
        </is>
      </c>
      <c r="F71" s="17" t="inlineStr"/>
      <c r="G71" s="17" t="inlineStr">
        <is>
          <t>鹿児島市</t>
        </is>
      </c>
      <c r="H71" s="17" t="inlineStr"/>
      <c r="I71" s="17" t="inlineStr"/>
      <c r="J71" s="17" t="inlineStr"/>
      <c r="K71" s="17" t="inlineStr"/>
      <c r="L71" s="17" t="inlineStr"/>
      <c r="M71" s="17" t="inlineStr"/>
      <c r="N71" s="17" t="inlineStr"/>
      <c r="O71" s="17" t="inlineStr"/>
      <c r="P71" s="17" t="inlineStr"/>
      <c r="Q71" s="17" t="inlineStr"/>
      <c r="R71" s="17" t="inlineStr"/>
      <c r="S71" s="17" t="inlineStr"/>
      <c r="T71" s="17" t="inlineStr">
        <is>
          <t>未コール</t>
        </is>
      </c>
      <c r="U71" s="17" t="inlineStr">
        <is>
          <t>右田</t>
        </is>
      </c>
      <c r="V71" s="17" t="inlineStr">
        <is>
          <t>建売・注文住宅 収納にこだわった家づくり</t>
        </is>
      </c>
    </row>
    <row r="72">
      <c r="A72" s="15" t="inlineStr">
        <is>
          <t>K-071</t>
        </is>
      </c>
      <c r="B72" s="15" t="inlineStr">
        <is>
          <t>PASSIVE STYLE株式会社</t>
        </is>
      </c>
      <c r="C72" s="15" t="inlineStr">
        <is>
          <t>馬場 龍仁</t>
        </is>
      </c>
      <c r="D72" s="15" t="inlineStr"/>
      <c r="E72" s="15" t="inlineStr">
        <is>
          <t>099-800-4579</t>
        </is>
      </c>
      <c r="F72" s="15" t="inlineStr"/>
      <c r="G72" s="15" t="inlineStr">
        <is>
          <t>鹿児島市</t>
        </is>
      </c>
      <c r="H72" s="15" t="inlineStr"/>
      <c r="I72" s="15" t="inlineStr"/>
      <c r="J72" s="15" t="inlineStr"/>
      <c r="K72" s="15" t="inlineStr"/>
      <c r="L72" s="15" t="inlineStr"/>
      <c r="M72" s="15" t="inlineStr"/>
      <c r="N72" s="15" t="inlineStr"/>
      <c r="O72" s="15" t="inlineStr"/>
      <c r="P72" s="15" t="inlineStr"/>
      <c r="Q72" s="15" t="inlineStr"/>
      <c r="R72" s="15" t="inlineStr"/>
      <c r="S72" s="15" t="inlineStr"/>
      <c r="T72" s="15" t="inlineStr">
        <is>
          <t>未コール</t>
        </is>
      </c>
      <c r="U72" s="15" t="inlineStr">
        <is>
          <t>右田</t>
        </is>
      </c>
      <c r="V72" s="15" t="inlineStr">
        <is>
          <t>設立2019年 鹿児島初のパッシブハウス 世界基準の高性能住宅</t>
        </is>
      </c>
    </row>
    <row r="73">
      <c r="A73" s="17" t="inlineStr">
        <is>
          <t>K-072</t>
        </is>
      </c>
      <c r="B73" s="17" t="inlineStr">
        <is>
          <t>株式会社アイランドホーム</t>
        </is>
      </c>
      <c r="C73" s="17" t="inlineStr">
        <is>
          <t>山口 俊彦</t>
        </is>
      </c>
      <c r="D73" s="17" t="inlineStr"/>
      <c r="E73" s="17" t="inlineStr">
        <is>
          <t>0995-67-7047</t>
        </is>
      </c>
      <c r="F73" s="17" t="inlineStr"/>
      <c r="G73" s="17" t="inlineStr">
        <is>
          <t>姶良市</t>
        </is>
      </c>
      <c r="H73" s="17" t="inlineStr"/>
      <c r="I73" s="17" t="inlineStr"/>
      <c r="J73" s="17" t="inlineStr"/>
      <c r="K73" s="17" t="inlineStr"/>
      <c r="L73" s="17" t="inlineStr"/>
      <c r="M73" s="17" t="inlineStr"/>
      <c r="N73" s="17" t="inlineStr"/>
      <c r="O73" s="17" t="inlineStr"/>
      <c r="P73" s="17" t="inlineStr"/>
      <c r="Q73" s="17" t="inlineStr"/>
      <c r="R73" s="17" t="inlineStr"/>
      <c r="S73" s="17" t="inlineStr"/>
      <c r="T73" s="17" t="inlineStr">
        <is>
          <t>未コール</t>
        </is>
      </c>
      <c r="U73" s="17" t="inlineStr">
        <is>
          <t>右田</t>
        </is>
      </c>
      <c r="V73" s="17" t="inlineStr">
        <is>
          <t>従業員18名 鹿児島市・霧島市・姶良市エリア 不動産売買・注文住宅</t>
        </is>
      </c>
    </row>
    <row r="74">
      <c r="A74" s="15" t="inlineStr">
        <is>
          <t>K-073</t>
        </is>
      </c>
      <c r="B74" s="15" t="inlineStr">
        <is>
          <t>株式会社LinkPlan（リンクプラン）</t>
        </is>
      </c>
      <c r="C74" s="15" t="inlineStr"/>
      <c r="D74" s="15" t="inlineStr"/>
      <c r="E74" s="15" t="inlineStr">
        <is>
          <t>099-294-4247</t>
        </is>
      </c>
      <c r="F74" s="15" t="inlineStr"/>
      <c r="G74" s="15" t="inlineStr">
        <is>
          <t>鹿児島市</t>
        </is>
      </c>
      <c r="H74" s="15" t="inlineStr"/>
      <c r="I74" s="15" t="inlineStr"/>
      <c r="J74" s="15" t="inlineStr"/>
      <c r="K74" s="15" t="inlineStr"/>
      <c r="L74" s="15" t="inlineStr"/>
      <c r="M74" s="15" t="inlineStr"/>
      <c r="N74" s="15" t="inlineStr"/>
      <c r="O74" s="15" t="inlineStr"/>
      <c r="P74" s="15" t="inlineStr"/>
      <c r="Q74" s="15" t="inlineStr"/>
      <c r="R74" s="15" t="inlineStr"/>
      <c r="S74" s="15" t="inlineStr"/>
      <c r="T74" s="15" t="inlineStr">
        <is>
          <t>未コール</t>
        </is>
      </c>
      <c r="U74" s="15" t="inlineStr">
        <is>
          <t>右田</t>
        </is>
      </c>
      <c r="V74" s="15" t="inlineStr">
        <is>
          <t>設立2014年 従業員4名 小さな工務店のじっくり丁寧な家づくり</t>
        </is>
      </c>
    </row>
    <row r="75">
      <c r="A75" s="17" t="inlineStr">
        <is>
          <t>K-074</t>
        </is>
      </c>
      <c r="B75" s="17" t="inlineStr">
        <is>
          <t>株式会社ダイマツ建設（CRASI+くらしたす）</t>
        </is>
      </c>
      <c r="C75" s="17" t="inlineStr">
        <is>
          <t>松元 朗</t>
        </is>
      </c>
      <c r="D75" s="17" t="inlineStr"/>
      <c r="E75" s="17" t="inlineStr">
        <is>
          <t>0994-45-3333</t>
        </is>
      </c>
      <c r="F75" s="17" t="inlineStr"/>
      <c r="G75" s="17" t="inlineStr">
        <is>
          <t>鹿屋市</t>
        </is>
      </c>
      <c r="H75" s="17" t="inlineStr"/>
      <c r="I75" s="17" t="inlineStr"/>
      <c r="J75" s="17" t="inlineStr"/>
      <c r="K75" s="17" t="inlineStr"/>
      <c r="L75" s="17" t="inlineStr"/>
      <c r="M75" s="17" t="inlineStr"/>
      <c r="N75" s="17" t="inlineStr"/>
      <c r="O75" s="17" t="inlineStr"/>
      <c r="P75" s="17" t="inlineStr"/>
      <c r="Q75" s="17" t="inlineStr"/>
      <c r="R75" s="17" t="inlineStr"/>
      <c r="S75" s="17" t="inlineStr"/>
      <c r="T75" s="17" t="inlineStr">
        <is>
          <t>未コール</t>
        </is>
      </c>
      <c r="U75" s="17" t="inlineStr">
        <is>
          <t>右田</t>
        </is>
      </c>
      <c r="V75" s="17" t="inlineStr">
        <is>
          <t>創業昭和59年 自然素材の注文住宅・リフォーム 大隅地域</t>
        </is>
      </c>
    </row>
    <row r="76">
      <c r="A76" s="15" t="inlineStr">
        <is>
          <t>K-075</t>
        </is>
      </c>
      <c r="B76" s="15" t="inlineStr">
        <is>
          <t>株式会社住まいの前屋敷</t>
        </is>
      </c>
      <c r="C76" s="15" t="inlineStr"/>
      <c r="D76" s="15" t="inlineStr"/>
      <c r="E76" s="15" t="inlineStr">
        <is>
          <t>099-253-9777</t>
        </is>
      </c>
      <c r="F76" s="15" t="inlineStr"/>
      <c r="G76" s="15" t="inlineStr">
        <is>
          <t>鹿児島市</t>
        </is>
      </c>
      <c r="H76" s="15" t="inlineStr"/>
      <c r="I76" s="15" t="inlineStr"/>
      <c r="J76" s="15" t="inlineStr"/>
      <c r="K76" s="15" t="inlineStr"/>
      <c r="L76" s="15" t="inlineStr"/>
      <c r="M76" s="15" t="inlineStr"/>
      <c r="N76" s="15" t="inlineStr"/>
      <c r="O76" s="15" t="inlineStr"/>
      <c r="P76" s="15" t="inlineStr"/>
      <c r="Q76" s="15" t="inlineStr"/>
      <c r="R76" s="15" t="inlineStr"/>
      <c r="S76" s="15" t="inlineStr"/>
      <c r="T76" s="15" t="inlineStr">
        <is>
          <t>未コール</t>
        </is>
      </c>
      <c r="U76" s="15" t="inlineStr">
        <is>
          <t>右田</t>
        </is>
      </c>
      <c r="V76" s="15" t="inlineStr">
        <is>
          <t>製材所からスタート 木の温もりのある家づくり FPの家工法</t>
        </is>
      </c>
    </row>
    <row r="77">
      <c r="A77" s="17" t="inlineStr">
        <is>
          <t>K-076</t>
        </is>
      </c>
      <c r="B77" s="17" t="inlineStr">
        <is>
          <t>丸三建設工業株式会社</t>
        </is>
      </c>
      <c r="C77" s="17" t="inlineStr"/>
      <c r="D77" s="17" t="inlineStr"/>
      <c r="E77" s="17" t="inlineStr">
        <is>
          <t>0997-53-9920</t>
        </is>
      </c>
      <c r="F77" s="17" t="inlineStr"/>
      <c r="G77" s="17" t="inlineStr">
        <is>
          <t>奄美市</t>
        </is>
      </c>
      <c r="H77" s="17" t="inlineStr"/>
      <c r="I77" s="17" t="inlineStr"/>
      <c r="J77" s="17" t="inlineStr"/>
      <c r="K77" s="17" t="inlineStr"/>
      <c r="L77" s="17" t="inlineStr"/>
      <c r="M77" s="17" t="inlineStr"/>
      <c r="N77" s="17" t="inlineStr"/>
      <c r="O77" s="17" t="inlineStr"/>
      <c r="P77" s="17" t="inlineStr"/>
      <c r="Q77" s="17" t="inlineStr"/>
      <c r="R77" s="17" t="inlineStr"/>
      <c r="S77" s="17" t="inlineStr"/>
      <c r="T77" s="17" t="inlineStr">
        <is>
          <t>未コール</t>
        </is>
      </c>
      <c r="U77" s="17" t="inlineStr">
        <is>
          <t>右田</t>
        </is>
      </c>
      <c r="V77" s="17" t="inlineStr">
        <is>
          <t>従業員40名 奄美大島の住宅建築 完成棟数ランキング31位</t>
        </is>
      </c>
    </row>
    <row r="78">
      <c r="A78" s="15" t="inlineStr">
        <is>
          <t>K-077</t>
        </is>
      </c>
      <c r="B78" s="15" t="inlineStr">
        <is>
          <t>有限会社新越建設</t>
        </is>
      </c>
      <c r="C78" s="15" t="inlineStr"/>
      <c r="D78" s="15" t="inlineStr"/>
      <c r="E78" s="15" t="inlineStr"/>
      <c r="F78" s="15" t="inlineStr"/>
      <c r="G78" s="15" t="inlineStr">
        <is>
          <t>大崎町</t>
        </is>
      </c>
      <c r="H78" s="15" t="inlineStr"/>
      <c r="I78" s="15" t="inlineStr"/>
      <c r="J78" s="15" t="inlineStr"/>
      <c r="K78" s="15" t="inlineStr"/>
      <c r="L78" s="15" t="inlineStr"/>
      <c r="M78" s="15" t="inlineStr"/>
      <c r="N78" s="15" t="inlineStr"/>
      <c r="O78" s="15" t="inlineStr"/>
      <c r="P78" s="15" t="inlineStr"/>
      <c r="Q78" s="15" t="inlineStr"/>
      <c r="R78" s="15" t="inlineStr"/>
      <c r="S78" s="15" t="inlineStr"/>
      <c r="T78" s="15" t="inlineStr">
        <is>
          <t>未コール</t>
        </is>
      </c>
      <c r="U78" s="15" t="inlineStr">
        <is>
          <t>右田</t>
        </is>
      </c>
      <c r="V78" s="15" t="inlineStr">
        <is>
          <t>実質3代の家づくり専門会社 780戸超施工 年間15棟 大隅地域</t>
        </is>
      </c>
    </row>
    <row r="79">
      <c r="A79" s="17" t="inlineStr">
        <is>
          <t>K-078</t>
        </is>
      </c>
      <c r="B79" s="17" t="inlineStr">
        <is>
          <t>彩颯(iroha)建築工房</t>
        </is>
      </c>
      <c r="C79" s="17" t="inlineStr">
        <is>
          <t>大戸 洋一</t>
        </is>
      </c>
      <c r="D79" s="17" t="inlineStr"/>
      <c r="E79" s="17" t="inlineStr">
        <is>
          <t>099-800-7736</t>
        </is>
      </c>
      <c r="F79" s="17" t="inlineStr"/>
      <c r="G79" s="17" t="inlineStr">
        <is>
          <t>鹿児島市</t>
        </is>
      </c>
      <c r="H79" s="17" t="inlineStr"/>
      <c r="I79" s="17" t="inlineStr"/>
      <c r="J79" s="17" t="inlineStr"/>
      <c r="K79" s="17" t="inlineStr"/>
      <c r="L79" s="17" t="inlineStr"/>
      <c r="M79" s="17" t="inlineStr"/>
      <c r="N79" s="17" t="inlineStr"/>
      <c r="O79" s="17" t="inlineStr"/>
      <c r="P79" s="17" t="inlineStr"/>
      <c r="Q79" s="17" t="inlineStr"/>
      <c r="R79" s="17" t="inlineStr"/>
      <c r="S79" s="17" t="inlineStr"/>
      <c r="T79" s="17" t="inlineStr">
        <is>
          <t>未コール</t>
        </is>
      </c>
      <c r="U79" s="17" t="inlineStr">
        <is>
          <t>右田</t>
        </is>
      </c>
      <c r="V79" s="17" t="inlineStr">
        <is>
          <t>パッシブデザイン 自然エネルギーと素材を活用した家づくり</t>
        </is>
      </c>
    </row>
    <row r="80">
      <c r="A80" s="15" t="inlineStr">
        <is>
          <t>K-079</t>
        </is>
      </c>
      <c r="B80" s="15" t="inlineStr">
        <is>
          <t>ナガタハウス（有限会社永秀興業）</t>
        </is>
      </c>
      <c r="C80" s="15" t="inlineStr"/>
      <c r="D80" s="15" t="inlineStr"/>
      <c r="E80" s="15" t="inlineStr">
        <is>
          <t>0995-48-5511</t>
        </is>
      </c>
      <c r="F80" s="15" t="inlineStr"/>
      <c r="G80" s="15" t="inlineStr">
        <is>
          <t>霧島市</t>
        </is>
      </c>
      <c r="H80" s="15" t="inlineStr"/>
      <c r="I80" s="15" t="inlineStr"/>
      <c r="J80" s="15" t="inlineStr"/>
      <c r="K80" s="15" t="inlineStr"/>
      <c r="L80" s="15" t="inlineStr"/>
      <c r="M80" s="15" t="inlineStr"/>
      <c r="N80" s="15" t="inlineStr"/>
      <c r="O80" s="15" t="inlineStr"/>
      <c r="P80" s="15" t="inlineStr"/>
      <c r="Q80" s="15" t="inlineStr"/>
      <c r="R80" s="15" t="inlineStr"/>
      <c r="S80" s="15" t="inlineStr"/>
      <c r="T80" s="15" t="inlineStr">
        <is>
          <t>未コール</t>
        </is>
      </c>
      <c r="U80" s="15" t="inlineStr">
        <is>
          <t>右田</t>
        </is>
      </c>
      <c r="V80" s="15" t="inlineStr">
        <is>
          <t>住宅建築</t>
        </is>
      </c>
    </row>
    <row r="81">
      <c r="A81" s="17" t="inlineStr">
        <is>
          <t>K-080</t>
        </is>
      </c>
      <c r="B81" s="17" t="inlineStr">
        <is>
          <t>合同会社アリビオファム</t>
        </is>
      </c>
      <c r="C81" s="17" t="inlineStr">
        <is>
          <t>東 佳美</t>
        </is>
      </c>
      <c r="D81" s="17" t="inlineStr"/>
      <c r="E81" s="17" t="inlineStr">
        <is>
          <t>0995-70-0435</t>
        </is>
      </c>
      <c r="F81" s="17" t="inlineStr"/>
      <c r="G81" s="17" t="inlineStr">
        <is>
          <t>姶良市</t>
        </is>
      </c>
      <c r="H81" s="17" t="inlineStr"/>
      <c r="I81" s="17" t="inlineStr"/>
      <c r="J81" s="17" t="inlineStr"/>
      <c r="K81" s="17" t="inlineStr"/>
      <c r="L81" s="17" t="inlineStr"/>
      <c r="M81" s="17" t="inlineStr"/>
      <c r="N81" s="17" t="inlineStr"/>
      <c r="O81" s="17" t="inlineStr"/>
      <c r="P81" s="17" t="inlineStr"/>
      <c r="Q81" s="17" t="inlineStr"/>
      <c r="R81" s="17" t="inlineStr"/>
      <c r="S81" s="17" t="inlineStr"/>
      <c r="T81" s="17" t="inlineStr">
        <is>
          <t>未コール</t>
        </is>
      </c>
      <c r="U81" s="17" t="inlineStr">
        <is>
          <t>右田</t>
        </is>
      </c>
      <c r="V81" s="17" t="inlineStr">
        <is>
          <t>規格住宅・セミオーダー住宅・注文住宅 ジブンハウスパートナーズ</t>
        </is>
      </c>
    </row>
    <row r="82">
      <c r="A82" s="15" t="inlineStr">
        <is>
          <t>K-081</t>
        </is>
      </c>
      <c r="B82" s="15" t="inlineStr">
        <is>
          <t>株式会社RE・CRAFT（CRAFT HOUSING）</t>
        </is>
      </c>
      <c r="C82" s="15" t="inlineStr">
        <is>
          <t>平川 繁</t>
        </is>
      </c>
      <c r="D82" s="15" t="inlineStr"/>
      <c r="E82" s="15" t="inlineStr">
        <is>
          <t>099-260-3602</t>
        </is>
      </c>
      <c r="F82" s="15" t="inlineStr"/>
      <c r="G82" s="15" t="inlineStr">
        <is>
          <t>鹿児島市</t>
        </is>
      </c>
      <c r="H82" s="15" t="inlineStr"/>
      <c r="I82" s="15" t="inlineStr"/>
      <c r="J82" s="15" t="inlineStr"/>
      <c r="K82" s="15" t="inlineStr"/>
      <c r="L82" s="15" t="inlineStr"/>
      <c r="M82" s="15" t="inlineStr"/>
      <c r="N82" s="15" t="inlineStr"/>
      <c r="O82" s="15" t="inlineStr"/>
      <c r="P82" s="15" t="inlineStr"/>
      <c r="Q82" s="15" t="inlineStr"/>
      <c r="R82" s="15" t="inlineStr"/>
      <c r="S82" s="15" t="inlineStr"/>
      <c r="T82" s="15" t="inlineStr">
        <is>
          <t>未コール</t>
        </is>
      </c>
      <c r="U82" s="15" t="inlineStr">
        <is>
          <t>右田</t>
        </is>
      </c>
      <c r="V82" s="15" t="inlineStr">
        <is>
          <t>木造軸組工法 坪単価50万～70万円</t>
        </is>
      </c>
    </row>
    <row r="83">
      <c r="A83" s="17" t="inlineStr">
        <is>
          <t>K-082</t>
        </is>
      </c>
      <c r="B83" s="17" t="inlineStr">
        <is>
          <t>Limei home</t>
        </is>
      </c>
      <c r="C83" s="17" t="inlineStr"/>
      <c r="D83" s="17" t="inlineStr"/>
      <c r="E83" s="17" t="inlineStr">
        <is>
          <t>0994-36-8266</t>
        </is>
      </c>
      <c r="F83" s="17" t="inlineStr"/>
      <c r="G83" s="17" t="inlineStr">
        <is>
          <t>鹿屋市</t>
        </is>
      </c>
      <c r="H83" s="17" t="inlineStr"/>
      <c r="I83" s="17" t="inlineStr"/>
      <c r="J83" s="17" t="inlineStr"/>
      <c r="K83" s="17" t="inlineStr"/>
      <c r="L83" s="17" t="inlineStr"/>
      <c r="M83" s="17" t="inlineStr"/>
      <c r="N83" s="17" t="inlineStr"/>
      <c r="O83" s="17" t="inlineStr"/>
      <c r="P83" s="17" t="inlineStr"/>
      <c r="Q83" s="17" t="inlineStr"/>
      <c r="R83" s="17" t="inlineStr"/>
      <c r="S83" s="17" t="inlineStr"/>
      <c r="T83" s="17" t="inlineStr">
        <is>
          <t>未コール</t>
        </is>
      </c>
      <c r="U83" s="17" t="inlineStr">
        <is>
          <t>右田</t>
        </is>
      </c>
      <c r="V83" s="17" t="inlineStr">
        <is>
          <t>自然素材の新築・リフォーム・店舗デザイン 大隅地域密着</t>
        </is>
      </c>
    </row>
    <row r="84">
      <c r="A84" s="15" t="inlineStr">
        <is>
          <t>K-083</t>
        </is>
      </c>
      <c r="B84" s="15" t="inlineStr">
        <is>
          <t>株式会社相塲工務店</t>
        </is>
      </c>
      <c r="C84" s="15" t="inlineStr">
        <is>
          <t>相塲 敏男</t>
        </is>
      </c>
      <c r="D84" s="15" t="inlineStr"/>
      <c r="E84" s="15" t="inlineStr">
        <is>
          <t>099-806-1500</t>
        </is>
      </c>
      <c r="F84" s="15" t="inlineStr"/>
      <c r="G84" s="15" t="inlineStr">
        <is>
          <t>鹿児島市</t>
        </is>
      </c>
      <c r="H84" s="15" t="inlineStr"/>
      <c r="I84" s="15" t="inlineStr"/>
      <c r="J84" s="15" t="inlineStr"/>
      <c r="K84" s="15" t="inlineStr"/>
      <c r="L84" s="15" t="inlineStr"/>
      <c r="M84" s="15" t="inlineStr"/>
      <c r="N84" s="15" t="inlineStr"/>
      <c r="O84" s="15" t="inlineStr"/>
      <c r="P84" s="15" t="inlineStr"/>
      <c r="Q84" s="15" t="inlineStr"/>
      <c r="R84" s="15" t="inlineStr"/>
      <c r="S84" s="15" t="inlineStr"/>
      <c r="T84" s="15" t="inlineStr">
        <is>
          <t>未コール</t>
        </is>
      </c>
      <c r="U84" s="15" t="inlineStr">
        <is>
          <t>右田</t>
        </is>
      </c>
      <c r="V84" s="15" t="inlineStr">
        <is>
          <t>2016年創業 対話型住宅 一級建築士在籍</t>
        </is>
      </c>
    </row>
    <row r="85">
      <c r="A85" s="17" t="inlineStr">
        <is>
          <t>K-084</t>
        </is>
      </c>
      <c r="B85" s="17" t="inlineStr">
        <is>
          <t>株式会社田頭建設</t>
        </is>
      </c>
      <c r="C85" s="17" t="inlineStr">
        <is>
          <t>田頭 謙一</t>
        </is>
      </c>
      <c r="D85" s="17" t="inlineStr"/>
      <c r="E85" s="17" t="inlineStr">
        <is>
          <t>0996-62-0643</t>
        </is>
      </c>
      <c r="F85" s="17" t="inlineStr"/>
      <c r="G85" s="17" t="inlineStr">
        <is>
          <t>出水市</t>
        </is>
      </c>
      <c r="H85" s="17" t="inlineStr"/>
      <c r="I85" s="17" t="inlineStr"/>
      <c r="J85" s="17" t="inlineStr"/>
      <c r="K85" s="17" t="inlineStr"/>
      <c r="L85" s="17" t="inlineStr"/>
      <c r="M85" s="17" t="inlineStr"/>
      <c r="N85" s="17" t="inlineStr"/>
      <c r="O85" s="17" t="inlineStr"/>
      <c r="P85" s="17" t="inlineStr"/>
      <c r="Q85" s="17" t="inlineStr"/>
      <c r="R85" s="17" t="inlineStr"/>
      <c r="S85" s="17" t="inlineStr"/>
      <c r="T85" s="17" t="inlineStr">
        <is>
          <t>未コール</t>
        </is>
      </c>
      <c r="U85" s="17" t="inlineStr">
        <is>
          <t>右田</t>
        </is>
      </c>
      <c r="V85" s="17" t="inlineStr">
        <is>
          <t>3代続く大工の会社 長期優良住宅・ZEH対応 出水・阿久根・長島エリア</t>
        </is>
      </c>
    </row>
    <row r="86">
      <c r="A86" s="15" t="inlineStr">
        <is>
          <t>K-085</t>
        </is>
      </c>
      <c r="B86" s="15" t="inlineStr">
        <is>
          <t>有限会社桑原建築</t>
        </is>
      </c>
      <c r="C86" s="15" t="inlineStr">
        <is>
          <t>桑原 賢伍</t>
        </is>
      </c>
      <c r="D86" s="15" t="inlineStr"/>
      <c r="E86" s="15" t="inlineStr">
        <is>
          <t>0996-62-6606</t>
        </is>
      </c>
      <c r="F86" s="15" t="inlineStr"/>
      <c r="G86" s="15" t="inlineStr">
        <is>
          <t>出水市</t>
        </is>
      </c>
      <c r="H86" s="15" t="inlineStr"/>
      <c r="I86" s="15" t="inlineStr"/>
      <c r="J86" s="15" t="inlineStr"/>
      <c r="K86" s="15" t="inlineStr"/>
      <c r="L86" s="15" t="inlineStr"/>
      <c r="M86" s="15" t="inlineStr"/>
      <c r="N86" s="15" t="inlineStr"/>
      <c r="O86" s="15" t="inlineStr"/>
      <c r="P86" s="15" t="inlineStr"/>
      <c r="Q86" s="15" t="inlineStr"/>
      <c r="R86" s="15" t="inlineStr"/>
      <c r="S86" s="15" t="inlineStr"/>
      <c r="T86" s="15" t="inlineStr">
        <is>
          <t>未コール</t>
        </is>
      </c>
      <c r="U86" s="15" t="inlineStr">
        <is>
          <t>右田</t>
        </is>
      </c>
      <c r="V86" s="15" t="inlineStr">
        <is>
          <t>創業昭和51年 新築・リフォーム・敷地造成</t>
        </is>
      </c>
    </row>
    <row r="87">
      <c r="A87" s="17" t="inlineStr">
        <is>
          <t>K-086</t>
        </is>
      </c>
      <c r="B87" s="17" t="inlineStr">
        <is>
          <t>大工の内野</t>
        </is>
      </c>
      <c r="C87" s="17" t="inlineStr">
        <is>
          <t>内野 孝昭</t>
        </is>
      </c>
      <c r="D87" s="17" t="inlineStr"/>
      <c r="E87" s="17" t="inlineStr">
        <is>
          <t>099-296-6311</t>
        </is>
      </c>
      <c r="F87" s="17" t="inlineStr"/>
      <c r="G87" s="17" t="inlineStr">
        <is>
          <t>日置市</t>
        </is>
      </c>
      <c r="H87" s="17" t="inlineStr"/>
      <c r="I87" s="17" t="inlineStr"/>
      <c r="J87" s="17" t="inlineStr"/>
      <c r="K87" s="17" t="inlineStr"/>
      <c r="L87" s="17" t="inlineStr"/>
      <c r="M87" s="17" t="inlineStr"/>
      <c r="N87" s="17" t="inlineStr"/>
      <c r="O87" s="17" t="inlineStr"/>
      <c r="P87" s="17" t="inlineStr"/>
      <c r="Q87" s="17" t="inlineStr"/>
      <c r="R87" s="17" t="inlineStr"/>
      <c r="S87" s="17" t="inlineStr"/>
      <c r="T87" s="17" t="inlineStr">
        <is>
          <t>未コール</t>
        </is>
      </c>
      <c r="U87" s="17" t="inlineStr">
        <is>
          <t>右田</t>
        </is>
      </c>
      <c r="V87" s="17" t="inlineStr">
        <is>
          <t>日置市・南さつま市エリア 新築・リフォーム</t>
        </is>
      </c>
    </row>
    <row r="88">
      <c r="A88" s="15" t="inlineStr">
        <is>
          <t>K-087</t>
        </is>
      </c>
      <c r="B88" s="15" t="inlineStr">
        <is>
          <t>株式会社上野住建</t>
        </is>
      </c>
      <c r="C88" s="15" t="inlineStr">
        <is>
          <t>上野 武志</t>
        </is>
      </c>
      <c r="D88" s="15" t="inlineStr"/>
      <c r="E88" s="15" t="inlineStr">
        <is>
          <t>0993-52-2773</t>
        </is>
      </c>
      <c r="F88" s="15" t="inlineStr"/>
      <c r="G88" s="15" t="inlineStr">
        <is>
          <t>南さつま市</t>
        </is>
      </c>
      <c r="H88" s="15" t="inlineStr"/>
      <c r="I88" s="15" t="inlineStr"/>
      <c r="J88" s="15" t="inlineStr"/>
      <c r="K88" s="15" t="inlineStr"/>
      <c r="L88" s="15" t="inlineStr"/>
      <c r="M88" s="15" t="inlineStr"/>
      <c r="N88" s="15" t="inlineStr"/>
      <c r="O88" s="15" t="inlineStr"/>
      <c r="P88" s="15" t="inlineStr"/>
      <c r="Q88" s="15" t="inlineStr"/>
      <c r="R88" s="15" t="inlineStr"/>
      <c r="S88" s="15" t="inlineStr"/>
      <c r="T88" s="15" t="inlineStr">
        <is>
          <t>未コール</t>
        </is>
      </c>
      <c r="U88" s="15" t="inlineStr">
        <is>
          <t>右田</t>
        </is>
      </c>
      <c r="V88" s="15" t="inlineStr">
        <is>
          <t>無垢材を使用した住宅施工 二級建築士</t>
        </is>
      </c>
    </row>
    <row r="89">
      <c r="A89" s="17" t="inlineStr">
        <is>
          <t>K-088</t>
        </is>
      </c>
      <c r="B89" s="17" t="inlineStr">
        <is>
          <t>マエダハウス株式会社</t>
        </is>
      </c>
      <c r="C89" s="17" t="inlineStr">
        <is>
          <t>前田 浩幸</t>
        </is>
      </c>
      <c r="D89" s="17" t="inlineStr"/>
      <c r="E89" s="17" t="inlineStr">
        <is>
          <t>0993-83-2521</t>
        </is>
      </c>
      <c r="F89" s="17" t="inlineStr"/>
      <c r="G89" s="17" t="inlineStr">
        <is>
          <t>南九州市</t>
        </is>
      </c>
      <c r="H89" s="17" t="inlineStr"/>
      <c r="I89" s="17" t="inlineStr"/>
      <c r="J89" s="17" t="inlineStr"/>
      <c r="K89" s="17" t="inlineStr"/>
      <c r="L89" s="17" t="inlineStr"/>
      <c r="M89" s="17" t="inlineStr"/>
      <c r="N89" s="17" t="inlineStr"/>
      <c r="O89" s="17" t="inlineStr"/>
      <c r="P89" s="17" t="inlineStr"/>
      <c r="Q89" s="17" t="inlineStr"/>
      <c r="R89" s="17" t="inlineStr"/>
      <c r="S89" s="17" t="inlineStr"/>
      <c r="T89" s="17" t="inlineStr">
        <is>
          <t>未コール</t>
        </is>
      </c>
      <c r="U89" s="17" t="inlineStr">
        <is>
          <t>右田</t>
        </is>
      </c>
      <c r="V89" s="17" t="inlineStr">
        <is>
          <t>知覧町で創業90年 注文住宅・リフォーム</t>
        </is>
      </c>
    </row>
    <row r="90">
      <c r="A90" s="15" t="inlineStr">
        <is>
          <t>K-089</t>
        </is>
      </c>
      <c r="B90" s="15" t="inlineStr">
        <is>
          <t>株式会社古賀建設</t>
        </is>
      </c>
      <c r="C90" s="15" t="inlineStr">
        <is>
          <t>古賀 孝志</t>
        </is>
      </c>
      <c r="D90" s="15" t="inlineStr"/>
      <c r="E90" s="15" t="inlineStr">
        <is>
          <t>0996-75-2950</t>
        </is>
      </c>
      <c r="F90" s="15" t="inlineStr"/>
      <c r="G90" s="15" t="inlineStr">
        <is>
          <t>阿久根市</t>
        </is>
      </c>
      <c r="H90" s="15" t="inlineStr"/>
      <c r="I90" s="15" t="inlineStr"/>
      <c r="J90" s="15" t="inlineStr"/>
      <c r="K90" s="15" t="inlineStr"/>
      <c r="L90" s="15" t="inlineStr"/>
      <c r="M90" s="15" t="inlineStr"/>
      <c r="N90" s="15" t="inlineStr"/>
      <c r="O90" s="15" t="inlineStr"/>
      <c r="P90" s="15" t="inlineStr"/>
      <c r="Q90" s="15" t="inlineStr"/>
      <c r="R90" s="15" t="inlineStr"/>
      <c r="S90" s="15" t="inlineStr"/>
      <c r="T90" s="15" t="inlineStr">
        <is>
          <t>未コール</t>
        </is>
      </c>
      <c r="U90" s="15" t="inlineStr">
        <is>
          <t>右田</t>
        </is>
      </c>
      <c r="V90" s="15" t="inlineStr">
        <is>
          <t>設立昭和31年 従業員7名 北薩エリア密着</t>
        </is>
      </c>
    </row>
    <row r="91">
      <c r="A91" s="17" t="inlineStr">
        <is>
          <t>K-090</t>
        </is>
      </c>
      <c r="B91" s="17" t="inlineStr">
        <is>
          <t>株式会社タケシタ（WizHouse）</t>
        </is>
      </c>
      <c r="C91" s="17" t="inlineStr">
        <is>
          <t>竹下 英治</t>
        </is>
      </c>
      <c r="D91" s="17" t="inlineStr"/>
      <c r="E91" s="17" t="inlineStr">
        <is>
          <t>0996-32-4281</t>
        </is>
      </c>
      <c r="F91" s="17" t="inlineStr"/>
      <c r="G91" s="17" t="inlineStr">
        <is>
          <t>いちき串木野市</t>
        </is>
      </c>
      <c r="H91" s="17" t="inlineStr"/>
      <c r="I91" s="17" t="inlineStr"/>
      <c r="J91" s="17" t="inlineStr"/>
      <c r="K91" s="17" t="inlineStr"/>
      <c r="L91" s="17" t="inlineStr"/>
      <c r="M91" s="17" t="inlineStr"/>
      <c r="N91" s="17" t="inlineStr"/>
      <c r="O91" s="17" t="inlineStr"/>
      <c r="P91" s="17" t="inlineStr"/>
      <c r="Q91" s="17" t="inlineStr"/>
      <c r="R91" s="17" t="inlineStr"/>
      <c r="S91" s="17" t="inlineStr"/>
      <c r="T91" s="17" t="inlineStr">
        <is>
          <t>未コール</t>
        </is>
      </c>
      <c r="U91" s="17" t="inlineStr">
        <is>
          <t>右田</t>
        </is>
      </c>
      <c r="V91" s="17" t="inlineStr">
        <is>
          <t>創業1967年 新築・リフォーム</t>
        </is>
      </c>
    </row>
    <row r="92">
      <c r="A92" s="15" t="inlineStr">
        <is>
          <t>K-091</t>
        </is>
      </c>
      <c r="B92" s="15" t="inlineStr">
        <is>
          <t>ルピナスホーム（幸建ハウス株式会社）</t>
        </is>
      </c>
      <c r="C92" s="15" t="inlineStr">
        <is>
          <t>藤野 瑛司</t>
        </is>
      </c>
      <c r="D92" s="15" t="inlineStr"/>
      <c r="E92" s="15" t="inlineStr">
        <is>
          <t>099-248-8835</t>
        </is>
      </c>
      <c r="F92" s="15" t="inlineStr"/>
      <c r="G92" s="15" t="inlineStr">
        <is>
          <t>鹿児島市</t>
        </is>
      </c>
      <c r="H92" s="15" t="inlineStr"/>
      <c r="I92" s="15" t="inlineStr"/>
      <c r="J92" s="15" t="inlineStr"/>
      <c r="K92" s="15" t="inlineStr"/>
      <c r="L92" s="15" t="inlineStr"/>
      <c r="M92" s="15" t="inlineStr"/>
      <c r="N92" s="15" t="inlineStr"/>
      <c r="O92" s="15" t="inlineStr"/>
      <c r="P92" s="15" t="inlineStr"/>
      <c r="Q92" s="15" t="inlineStr"/>
      <c r="R92" s="15" t="inlineStr"/>
      <c r="S92" s="15" t="inlineStr"/>
      <c r="T92" s="15" t="inlineStr">
        <is>
          <t>未コール</t>
        </is>
      </c>
      <c r="U92" s="15" t="inlineStr">
        <is>
          <t>右田</t>
        </is>
      </c>
      <c r="V92" s="15" t="inlineStr">
        <is>
          <t>設立平成25年 従業員10名 高性能住宅</t>
        </is>
      </c>
    </row>
    <row r="93">
      <c r="A93" s="17" t="inlineStr">
        <is>
          <t>K-092</t>
        </is>
      </c>
      <c r="B93" s="17" t="inlineStr">
        <is>
          <t>木のんホーム（株式会社東木材）</t>
        </is>
      </c>
      <c r="C93" s="17" t="inlineStr">
        <is>
          <t>宮崎 俊輔</t>
        </is>
      </c>
      <c r="D93" s="17" t="inlineStr"/>
      <c r="E93" s="17" t="inlineStr">
        <is>
          <t>099-264-2578</t>
        </is>
      </c>
      <c r="F93" s="17" t="inlineStr"/>
      <c r="G93" s="17" t="inlineStr">
        <is>
          <t>鹿児島市</t>
        </is>
      </c>
      <c r="H93" s="17" t="inlineStr"/>
      <c r="I93" s="17" t="inlineStr"/>
      <c r="J93" s="17" t="inlineStr"/>
      <c r="K93" s="17" t="inlineStr"/>
      <c r="L93" s="17" t="inlineStr"/>
      <c r="M93" s="17" t="inlineStr"/>
      <c r="N93" s="17" t="inlineStr"/>
      <c r="O93" s="17" t="inlineStr"/>
      <c r="P93" s="17" t="inlineStr"/>
      <c r="Q93" s="17" t="inlineStr"/>
      <c r="R93" s="17" t="inlineStr"/>
      <c r="S93" s="17" t="inlineStr"/>
      <c r="T93" s="17" t="inlineStr">
        <is>
          <t>未コール</t>
        </is>
      </c>
      <c r="U93" s="17" t="inlineStr">
        <is>
          <t>右田</t>
        </is>
      </c>
      <c r="V93" s="17" t="inlineStr">
        <is>
          <t>1978年設立 製材業から住宅事業 枕崎支店あり 南薩エリア対応</t>
        </is>
      </c>
    </row>
    <row r="94">
      <c r="A94" s="15" t="inlineStr">
        <is>
          <t>K-093</t>
        </is>
      </c>
      <c r="B94" s="15" t="inlineStr">
        <is>
          <t>株式会社堀之内建設</t>
        </is>
      </c>
      <c r="C94" s="15" t="inlineStr">
        <is>
          <t>堀ノ内 茂樹</t>
        </is>
      </c>
      <c r="D94" s="15" t="inlineStr"/>
      <c r="E94" s="15" t="inlineStr">
        <is>
          <t>0995-78-2205</t>
        </is>
      </c>
      <c r="F94" s="15" t="inlineStr"/>
      <c r="G94" s="15" t="inlineStr">
        <is>
          <t>霧島市</t>
        </is>
      </c>
      <c r="H94" s="15" t="inlineStr"/>
      <c r="I94" s="15" t="inlineStr"/>
      <c r="J94" s="15" t="inlineStr"/>
      <c r="K94" s="15" t="inlineStr"/>
      <c r="L94" s="15" t="inlineStr"/>
      <c r="M94" s="15" t="inlineStr"/>
      <c r="N94" s="15" t="inlineStr"/>
      <c r="O94" s="15" t="inlineStr"/>
      <c r="P94" s="15" t="inlineStr"/>
      <c r="Q94" s="15" t="inlineStr"/>
      <c r="R94" s="15" t="inlineStr"/>
      <c r="S94" s="15" t="inlineStr"/>
      <c r="T94" s="15" t="inlineStr">
        <is>
          <t>未コール</t>
        </is>
      </c>
      <c r="U94" s="15" t="inlineStr">
        <is>
          <t>右田</t>
        </is>
      </c>
      <c r="V94" s="15" t="inlineStr">
        <is>
          <t>住宅事業部メゾン・ド・カラン リフォーム・注文住宅</t>
        </is>
      </c>
    </row>
    <row r="95">
      <c r="A95" s="17" t="inlineStr">
        <is>
          <t>K-094</t>
        </is>
      </c>
      <c r="B95" s="17" t="inlineStr">
        <is>
          <t>株式会社まんぷくハウス</t>
        </is>
      </c>
      <c r="C95" s="17" t="inlineStr">
        <is>
          <t>西ノ原 健介</t>
        </is>
      </c>
      <c r="D95" s="17" t="inlineStr"/>
      <c r="E95" s="17" t="inlineStr">
        <is>
          <t>099-285-2511</t>
        </is>
      </c>
      <c r="F95" s="17" t="inlineStr"/>
      <c r="G95" s="17" t="inlineStr">
        <is>
          <t>鹿児島市</t>
        </is>
      </c>
      <c r="H95" s="17" t="inlineStr"/>
      <c r="I95" s="17" t="inlineStr"/>
      <c r="J95" s="17" t="inlineStr"/>
      <c r="K95" s="17" t="inlineStr"/>
      <c r="L95" s="17" t="inlineStr"/>
      <c r="M95" s="17" t="inlineStr"/>
      <c r="N95" s="17" t="inlineStr"/>
      <c r="O95" s="17" t="inlineStr"/>
      <c r="P95" s="17" t="inlineStr"/>
      <c r="Q95" s="17" t="inlineStr"/>
      <c r="R95" s="17" t="inlineStr"/>
      <c r="S95" s="17" t="inlineStr"/>
      <c r="T95" s="17" t="inlineStr">
        <is>
          <t>未コール</t>
        </is>
      </c>
      <c r="U95" s="17" t="inlineStr">
        <is>
          <t>右田</t>
        </is>
      </c>
      <c r="V95" s="17" t="inlineStr">
        <is>
          <t>設立2024年6月 資本金300万円 注文住宅</t>
        </is>
      </c>
    </row>
    <row r="96">
      <c r="A96" s="15" t="inlineStr">
        <is>
          <t>K-095</t>
        </is>
      </c>
      <c r="B96" s="15" t="inlineStr">
        <is>
          <t>株式会社BAUM（バウム）</t>
        </is>
      </c>
      <c r="C96" s="15" t="inlineStr"/>
      <c r="D96" s="15" t="inlineStr"/>
      <c r="E96" s="15" t="inlineStr">
        <is>
          <t>0995-73-4850</t>
        </is>
      </c>
      <c r="F96" s="15" t="inlineStr"/>
      <c r="G96" s="15" t="inlineStr">
        <is>
          <t>姶良市</t>
        </is>
      </c>
      <c r="H96" s="15" t="inlineStr"/>
      <c r="I96" s="15" t="inlineStr"/>
      <c r="J96" s="15" t="inlineStr"/>
      <c r="K96" s="15" t="inlineStr"/>
      <c r="L96" s="15" t="inlineStr"/>
      <c r="M96" s="15" t="inlineStr"/>
      <c r="N96" s="15" t="inlineStr"/>
      <c r="O96" s="15" t="inlineStr"/>
      <c r="P96" s="15" t="inlineStr"/>
      <c r="Q96" s="15" t="inlineStr"/>
      <c r="R96" s="15" t="inlineStr"/>
      <c r="S96" s="15" t="inlineStr"/>
      <c r="T96" s="15" t="inlineStr">
        <is>
          <t>未コール</t>
        </is>
      </c>
      <c r="U96" s="15" t="inlineStr">
        <is>
          <t>右田</t>
        </is>
      </c>
      <c r="V96" s="15" t="inlineStr">
        <is>
          <t>不動産・住宅建築</t>
        </is>
      </c>
    </row>
    <row r="97">
      <c r="A97" s="17" t="inlineStr">
        <is>
          <t>K-096</t>
        </is>
      </c>
      <c r="B97" s="17" t="inlineStr">
        <is>
          <t>津曲工業株式会社</t>
        </is>
      </c>
      <c r="C97" s="17" t="inlineStr">
        <is>
          <t>津曲 矢</t>
        </is>
      </c>
      <c r="D97" s="17" t="inlineStr"/>
      <c r="E97" s="17" t="inlineStr">
        <is>
          <t>099-220-1212</t>
        </is>
      </c>
      <c r="F97" s="17" t="inlineStr"/>
      <c r="G97" s="17" t="inlineStr">
        <is>
          <t>鹿児島市</t>
        </is>
      </c>
      <c r="H97" s="17" t="inlineStr"/>
      <c r="I97" s="17" t="inlineStr"/>
      <c r="J97" s="17" t="inlineStr"/>
      <c r="K97" s="17" t="inlineStr"/>
      <c r="L97" s="17" t="inlineStr"/>
      <c r="M97" s="17" t="inlineStr"/>
      <c r="N97" s="17" t="inlineStr"/>
      <c r="O97" s="17" t="inlineStr"/>
      <c r="P97" s="17" t="inlineStr"/>
      <c r="Q97" s="17" t="inlineStr"/>
      <c r="R97" s="17" t="inlineStr"/>
      <c r="S97" s="17" t="inlineStr"/>
      <c r="T97" s="17" t="inlineStr">
        <is>
          <t>未コール</t>
        </is>
      </c>
      <c r="U97" s="17" t="inlineStr">
        <is>
          <t>右田</t>
        </is>
      </c>
      <c r="V97" s="17" t="inlineStr">
        <is>
          <t>創業70年以上 テクノストラクチャー工法 ISO認証取得</t>
        </is>
      </c>
    </row>
    <row r="98">
      <c r="A98" s="15" t="inlineStr">
        <is>
          <t>K-097</t>
        </is>
      </c>
      <c r="B98" s="15" t="inlineStr">
        <is>
          <t>ミスミハウス（株式会社Misumi）</t>
        </is>
      </c>
      <c r="C98" s="15" t="inlineStr"/>
      <c r="D98" s="15" t="inlineStr"/>
      <c r="E98" s="15" t="inlineStr">
        <is>
          <t>099-246-1290</t>
        </is>
      </c>
      <c r="F98" s="15" t="inlineStr"/>
      <c r="G98" s="15" t="inlineStr">
        <is>
          <t>鹿児島市</t>
        </is>
      </c>
      <c r="H98" s="15" t="inlineStr"/>
      <c r="I98" s="15" t="inlineStr"/>
      <c r="J98" s="15" t="inlineStr"/>
      <c r="K98" s="15" t="inlineStr"/>
      <c r="L98" s="15" t="inlineStr"/>
      <c r="M98" s="15" t="inlineStr"/>
      <c r="N98" s="15" t="inlineStr"/>
      <c r="O98" s="15" t="inlineStr"/>
      <c r="P98" s="15" t="inlineStr"/>
      <c r="Q98" s="15" t="inlineStr"/>
      <c r="R98" s="15" t="inlineStr"/>
      <c r="S98" s="15" t="inlineStr"/>
      <c r="T98" s="15" t="inlineStr">
        <is>
          <t>未コール</t>
        </is>
      </c>
      <c r="U98" s="15" t="inlineStr">
        <is>
          <t>右田</t>
        </is>
      </c>
      <c r="V98" s="15" t="inlineStr">
        <is>
          <t>創業1907年 資本金約17億円 テクノストラクチャー工法</t>
        </is>
      </c>
    </row>
    <row r="99">
      <c r="A99" s="17" t="inlineStr">
        <is>
          <t>K-098</t>
        </is>
      </c>
      <c r="B99" s="17" t="inlineStr">
        <is>
          <t>有限会社泊野（ユウダイホーム）</t>
        </is>
      </c>
      <c r="C99" s="17" t="inlineStr"/>
      <c r="D99" s="17" t="inlineStr"/>
      <c r="E99" s="17" t="inlineStr"/>
      <c r="F99" s="17" t="inlineStr"/>
      <c r="G99" s="17" t="inlineStr">
        <is>
          <t>鹿児島市</t>
        </is>
      </c>
      <c r="H99" s="17" t="inlineStr"/>
      <c r="I99" s="17" t="inlineStr"/>
      <c r="J99" s="17" t="inlineStr"/>
      <c r="K99" s="17" t="inlineStr"/>
      <c r="L99" s="17" t="inlineStr"/>
      <c r="M99" s="17" t="inlineStr"/>
      <c r="N99" s="17" t="inlineStr"/>
      <c r="O99" s="17" t="inlineStr"/>
      <c r="P99" s="17" t="inlineStr"/>
      <c r="Q99" s="17" t="inlineStr"/>
      <c r="R99" s="17" t="inlineStr"/>
      <c r="S99" s="17" t="inlineStr"/>
      <c r="T99" s="17" t="inlineStr">
        <is>
          <t>未コール</t>
        </is>
      </c>
      <c r="U99" s="17" t="inlineStr">
        <is>
          <t>右田</t>
        </is>
      </c>
      <c r="V99" s="17" t="inlineStr">
        <is>
          <t>完成棟数ランキング14位 住宅建設</t>
        </is>
      </c>
    </row>
    <row r="100">
      <c r="A100" s="15" t="inlineStr">
        <is>
          <t>K-099</t>
        </is>
      </c>
      <c r="B100" s="15" t="inlineStr">
        <is>
          <t>株式会社有村工務店</t>
        </is>
      </c>
      <c r="C100" s="15" t="inlineStr"/>
      <c r="D100" s="15" t="inlineStr"/>
      <c r="E100" s="15" t="inlineStr"/>
      <c r="F100" s="15" t="inlineStr"/>
      <c r="G100" s="15" t="inlineStr">
        <is>
          <t>鹿児島市</t>
        </is>
      </c>
      <c r="H100" s="15" t="inlineStr"/>
      <c r="I100" s="15" t="inlineStr"/>
      <c r="J100" s="15" t="inlineStr"/>
      <c r="K100" s="15" t="inlineStr"/>
      <c r="L100" s="15" t="inlineStr"/>
      <c r="M100" s="15" t="inlineStr"/>
      <c r="N100" s="15" t="inlineStr"/>
      <c r="O100" s="15" t="inlineStr"/>
      <c r="P100" s="15" t="inlineStr"/>
      <c r="Q100" s="15" t="inlineStr"/>
      <c r="R100" s="15" t="inlineStr"/>
      <c r="S100" s="15" t="inlineStr"/>
      <c r="T100" s="15" t="inlineStr">
        <is>
          <t>未コール</t>
        </is>
      </c>
      <c r="U100" s="15" t="inlineStr">
        <is>
          <t>右田</t>
        </is>
      </c>
      <c r="V100" s="15" t="inlineStr">
        <is>
          <t>完成棟数ランキング43位</t>
        </is>
      </c>
    </row>
    <row r="101">
      <c r="A101" s="17" t="inlineStr">
        <is>
          <t>K-100</t>
        </is>
      </c>
      <c r="B101" s="17" t="inlineStr">
        <is>
          <t>株式会社絆</t>
        </is>
      </c>
      <c r="C101" s="17" t="inlineStr"/>
      <c r="D101" s="17" t="inlineStr"/>
      <c r="E101" s="17" t="inlineStr"/>
      <c r="F101" s="17" t="inlineStr"/>
      <c r="G101" s="17" t="inlineStr">
        <is>
          <t>鹿児島市</t>
        </is>
      </c>
      <c r="H101" s="17" t="inlineStr"/>
      <c r="I101" s="17" t="inlineStr"/>
      <c r="J101" s="17" t="inlineStr"/>
      <c r="K101" s="17" t="inlineStr"/>
      <c r="L101" s="17" t="inlineStr"/>
      <c r="M101" s="17" t="inlineStr"/>
      <c r="N101" s="17" t="inlineStr"/>
      <c r="O101" s="17" t="inlineStr"/>
      <c r="P101" s="17" t="inlineStr"/>
      <c r="Q101" s="17" t="inlineStr"/>
      <c r="R101" s="17" t="inlineStr"/>
      <c r="S101" s="17" t="inlineStr"/>
      <c r="T101" s="17" t="inlineStr">
        <is>
          <t>未コール</t>
        </is>
      </c>
      <c r="U101" s="17" t="inlineStr">
        <is>
          <t>右田</t>
        </is>
      </c>
      <c r="V101" s="17" t="inlineStr">
        <is>
          <t>イエタッタ鹿児島掲載</t>
        </is>
      </c>
    </row>
  </sheetData>
  <autoFilter ref="A1:V101"/>
  <dataValidations count="3">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1" errorTitle="無効な値" error="選択肢から選んでください" type="list">
      <formula1>"未コール,コール済み,資料送付済み,商談調整中,商談済み,申込済み,見送り"</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showDropDown="0" showInputMessage="0" showErrorMessage="0" allowBlank="1" errorTitle="無効な値" error="選択肢から選んでください" type="list">
      <formula1>"右田,営業A,営業B"</formula1>
    </dataValidation>
    <dataValidation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howDropDown="0" showInputMessage="0" showErrorMessage="0" allowBlank="1" errorTitle="無効な値" error="選択肢から選んでください" type="list">
      <formula1>"フリープラン,成果報酬,掲載ベーシック,掲載プロ"</formula1>
    </dataValidation>
  </dataValidations>
  <pageMargins left="0.75" right="0.75" top="1" bottom="1" header="0.5" footer="0.5"/>
</worksheet>
</file>

<file path=xl/worksheets/sheet5.xml><?xml version="1.0" encoding="utf-8"?>
<worksheet xmlns="http://schemas.openxmlformats.org/spreadsheetml/2006/main">
  <sheetPr>
    <tabColor rgb="003498DB"/>
    <outlinePr summaryBelow="1" summaryRight="1"/>
    <pageSetUpPr/>
  </sheetPr>
  <dimension ref="A1:X1"/>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14" t="inlineStr">
        <is>
          <t>ID</t>
        </is>
      </c>
      <c r="B1" s="14" t="inlineStr">
        <is>
          <t>企業名</t>
        </is>
      </c>
      <c r="C1" s="14" t="inlineStr">
        <is>
          <t>代表者</t>
        </is>
      </c>
      <c r="D1" s="14" t="inlineStr">
        <is>
          <t>担当者</t>
        </is>
      </c>
      <c r="E1" s="14" t="inlineStr">
        <is>
          <t>電話番号</t>
        </is>
      </c>
      <c r="F1" s="14" t="inlineStr">
        <is>
          <t>メール</t>
        </is>
      </c>
      <c r="G1" s="14" t="inlineStr">
        <is>
          <t>都道府県</t>
        </is>
      </c>
      <c r="H1" s="14" t="inlineStr">
        <is>
          <t>従業員数</t>
        </is>
      </c>
      <c r="I1" s="14" t="inlineStr">
        <is>
          <t>年間施工数</t>
        </is>
      </c>
      <c r="J1" s="14" t="inlineStr">
        <is>
          <t>平屋実績</t>
        </is>
      </c>
      <c r="K1" s="14" t="inlineStr">
        <is>
          <t>1回目コール日</t>
        </is>
      </c>
      <c r="L1" s="14" t="inlineStr">
        <is>
          <t>1回目結果</t>
        </is>
      </c>
      <c r="M1" s="14" t="inlineStr">
        <is>
          <t>2回目コール日</t>
        </is>
      </c>
      <c r="N1" s="14" t="inlineStr">
        <is>
          <t>2回目結果</t>
        </is>
      </c>
      <c r="O1" s="14" t="inlineStr">
        <is>
          <t>資料送付日</t>
        </is>
      </c>
      <c r="P1" s="14" t="inlineStr">
        <is>
          <t>商談日</t>
        </is>
      </c>
      <c r="Q1" s="14" t="inlineStr">
        <is>
          <t>商談結果</t>
        </is>
      </c>
      <c r="R1" s="14" t="inlineStr">
        <is>
          <t>見積金額</t>
        </is>
      </c>
      <c r="S1" s="14" t="inlineStr">
        <is>
          <t>契約日</t>
        </is>
      </c>
      <c r="T1" s="14" t="inlineStr">
        <is>
          <t>契約プラン</t>
        </is>
      </c>
      <c r="U1" s="14" t="inlineStr">
        <is>
          <t>月額</t>
        </is>
      </c>
      <c r="V1" s="14" t="inlineStr">
        <is>
          <t>ステータス</t>
        </is>
      </c>
      <c r="W1" s="14" t="inlineStr">
        <is>
          <t>担当者(自社)</t>
        </is>
      </c>
      <c r="X1" s="14" t="inlineStr">
        <is>
          <t>メモ</t>
        </is>
      </c>
    </row>
  </sheetData>
  <autoFilter ref="A1:X100"/>
  <dataValidations count="3">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showDropDown="0" showInputMessage="0" showErrorMessage="0" allowBlank="1" errorTitle="無効な値" error="選択肢から選んでください" type="list">
      <formula1>"未コール,コール済み,資料送付済み,商談調整中,商談済み,見積提出,契約済み,見送り"</formula1>
    </dataValidation>
    <dataValidation sqref="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showDropDown="0" showInputMessage="0" showErrorMessage="0" allowBlank="1" errorTitle="無効な値" error="選択肢から選んでください" type="list">
      <formula1>"右田,営業A,営業B"</formula1>
    </dataValidation>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1" errorTitle="無効な値" error="選択肢から選んでください" type="list">
      <formula1>"エントリー,グロース,プレミアム"</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M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25" customWidth="1" min="10" max="10"/>
    <col width="15" customWidth="1" min="11" max="11"/>
    <col width="15" customWidth="1" min="12" max="12"/>
    <col width="15" customWidth="1" min="13" max="13"/>
  </cols>
  <sheetData>
    <row r="1">
      <c r="A1" s="14" t="inlineStr">
        <is>
          <t>ID</t>
        </is>
      </c>
      <c r="B1" s="14" t="inlineStr">
        <is>
          <t>企業名</t>
        </is>
      </c>
      <c r="C1" s="14" t="inlineStr">
        <is>
          <t>商品種別</t>
        </is>
      </c>
      <c r="D1" s="14" t="inlineStr">
        <is>
          <t>提案プラン</t>
        </is>
      </c>
      <c r="E1" s="14" t="inlineStr">
        <is>
          <t>ステージ</t>
        </is>
      </c>
      <c r="F1" s="14" t="inlineStr">
        <is>
          <t>確度</t>
        </is>
      </c>
      <c r="G1" s="14" t="inlineStr">
        <is>
          <t>見積金額</t>
        </is>
      </c>
      <c r="H1" s="14" t="inlineStr">
        <is>
          <t>月額想定</t>
        </is>
      </c>
      <c r="I1" s="14" t="inlineStr">
        <is>
          <t>担当者</t>
        </is>
      </c>
      <c r="J1" s="14" t="inlineStr">
        <is>
          <t>次アクション</t>
        </is>
      </c>
      <c r="K1" s="14" t="inlineStr">
        <is>
          <t>次アクション期日</t>
        </is>
      </c>
      <c r="L1" s="14" t="inlineStr">
        <is>
          <t>メモ</t>
        </is>
      </c>
      <c r="M1" s="14" t="inlineStr">
        <is>
          <t>更新日</t>
        </is>
      </c>
    </row>
  </sheetData>
  <autoFilter ref="A1:M100"/>
  <dataValidations count="4">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1" errorTitle="無効な値" error="選択肢から選んでください" type="list">
      <formula1>"PF掲載,マーケ支援,セット"</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errorTitle="無効な値" error="選択肢から選んでください" type="list">
      <formula1>"リード,商談調整,商談済み,見積提出,契約交渉,契約済み,失注"</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showDropDown="0" showInputMessage="0" showErrorMessage="0" allowBlank="1" errorTitle="無効な値" error="選択肢から選んでください" type="list">
      <formula1>"A（90%）,B（60%）,C（30%）,D（10%）"</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errorTitle="無効な値" error="選択肢から選んでください" type="list">
      <formula1>"右田,営業A,営業B"</formula1>
    </dataValidation>
  </dataValidations>
  <pageMargins left="0.75" right="0.75" top="1" bottom="1" header="0.5" footer="0.5"/>
</worksheet>
</file>

<file path=xl/worksheets/sheet7.xml><?xml version="1.0" encoding="utf-8"?>
<worksheet xmlns="http://schemas.openxmlformats.org/spreadsheetml/2006/main">
  <sheetPr>
    <tabColor rgb="00E67E22"/>
    <outlinePr summaryBelow="1" summaryRight="1"/>
    <pageSetUpPr/>
  </sheetPr>
  <dimension ref="A1:L21"/>
  <sheetViews>
    <sheetView workbookViewId="0">
      <selection activeCell="A1" sqref="A1"/>
    </sheetView>
  </sheetViews>
  <sheetFormatPr baseColWidth="8" defaultRowHeight="15"/>
  <cols>
    <col width="14" customWidth="1" min="1" max="1"/>
    <col width="14" customWidth="1" min="2" max="2"/>
    <col width="30" customWidth="1" min="3" max="3"/>
    <col width="3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4" t="inlineStr">
        <is>
          <t>ID</t>
        </is>
      </c>
      <c r="B1" s="14" t="inlineStr">
        <is>
          <t>カテゴリ</t>
        </is>
      </c>
      <c r="C1" s="14" t="inlineStr">
        <is>
          <t>タスク名</t>
        </is>
      </c>
      <c r="D1" s="14" t="inlineStr">
        <is>
          <t>詳細</t>
        </is>
      </c>
      <c r="E1" s="14" t="inlineStr">
        <is>
          <t>担当者</t>
        </is>
      </c>
      <c r="F1" s="14" t="inlineStr">
        <is>
          <t>優先度</t>
        </is>
      </c>
      <c r="G1" s="14" t="inlineStr">
        <is>
          <t>開始日</t>
        </is>
      </c>
      <c r="H1" s="14" t="inlineStr">
        <is>
          <t>期限</t>
        </is>
      </c>
      <c r="I1" s="14" t="inlineStr">
        <is>
          <t>ステータス</t>
        </is>
      </c>
      <c r="J1" s="14" t="inlineStr">
        <is>
          <t>進捗%</t>
        </is>
      </c>
      <c r="K1" s="14" t="inlineStr">
        <is>
          <t>成果物</t>
        </is>
      </c>
      <c r="L1" s="14" t="inlineStr">
        <is>
          <t>メモ</t>
        </is>
      </c>
    </row>
    <row r="2">
      <c r="A2" s="15" t="inlineStr">
        <is>
          <t>S-01</t>
        </is>
      </c>
      <c r="B2" s="15" t="inlineStr">
        <is>
          <t>営業準備</t>
        </is>
      </c>
      <c r="C2" s="15" t="inlineStr">
        <is>
          <t>テレアポリスト作成（鹿児島50社）</t>
        </is>
      </c>
      <c r="D2" s="15" t="inlineStr">
        <is>
          <t>鹿児島の工務店・ハウスメーカーをリストアップ</t>
        </is>
      </c>
      <c r="E2" s="15" t="inlineStr">
        <is>
          <t>右田</t>
        </is>
      </c>
      <c r="F2" s="16" t="inlineStr">
        <is>
          <t>高</t>
        </is>
      </c>
      <c r="G2" s="15" t="inlineStr">
        <is>
          <t>2026/3/24</t>
        </is>
      </c>
      <c r="H2" s="15" t="inlineStr">
        <is>
          <t>2026/3/28</t>
        </is>
      </c>
      <c r="I2" s="15" t="inlineStr">
        <is>
          <t>未着手</t>
        </is>
      </c>
      <c r="J2" s="15" t="inlineStr">
        <is>
          <t>0%</t>
        </is>
      </c>
      <c r="K2" s="15" t="inlineStr">
        <is>
          <t>リスト</t>
        </is>
      </c>
      <c r="L2" s="15" t="inlineStr"/>
    </row>
    <row r="3">
      <c r="A3" s="17" t="inlineStr">
        <is>
          <t>S-02</t>
        </is>
      </c>
      <c r="B3" s="17" t="inlineStr">
        <is>
          <t>営業準備</t>
        </is>
      </c>
      <c r="C3" s="17" t="inlineStr">
        <is>
          <t>テレアポリスト作成（全国30社）</t>
        </is>
      </c>
      <c r="D3" s="17" t="inlineStr">
        <is>
          <t>全国の平屋施工実績のある工務店をリストアップ</t>
        </is>
      </c>
      <c r="E3" s="17" t="inlineStr">
        <is>
          <t>営業A</t>
        </is>
      </c>
      <c r="F3" s="16" t="inlineStr">
        <is>
          <t>高</t>
        </is>
      </c>
      <c r="G3" s="17" t="inlineStr">
        <is>
          <t>2026/3/24</t>
        </is>
      </c>
      <c r="H3" s="17" t="inlineStr">
        <is>
          <t>2026/3/28</t>
        </is>
      </c>
      <c r="I3" s="17" t="inlineStr">
        <is>
          <t>未着手</t>
        </is>
      </c>
      <c r="J3" s="17" t="inlineStr">
        <is>
          <t>0%</t>
        </is>
      </c>
      <c r="K3" s="17" t="inlineStr">
        <is>
          <t>リスト</t>
        </is>
      </c>
      <c r="L3" s="17" t="inlineStr"/>
    </row>
    <row r="4">
      <c r="A4" s="15" t="inlineStr">
        <is>
          <t>S-03</t>
        </is>
      </c>
      <c r="B4" s="15" t="inlineStr">
        <is>
          <t>営業準備</t>
        </is>
      </c>
      <c r="C4" s="15" t="inlineStr">
        <is>
          <t>営業資料最終確認</t>
        </is>
      </c>
      <c r="D4" s="15" t="inlineStr">
        <is>
          <t>提案書・チラシ・申込書の内容最終チェック</t>
        </is>
      </c>
      <c r="E4" s="15" t="inlineStr">
        <is>
          <t>右田</t>
        </is>
      </c>
      <c r="F4" s="16" t="inlineStr">
        <is>
          <t>高</t>
        </is>
      </c>
      <c r="G4" s="15" t="inlineStr">
        <is>
          <t>2026/3/24</t>
        </is>
      </c>
      <c r="H4" s="15" t="inlineStr">
        <is>
          <t>2026/3/28</t>
        </is>
      </c>
      <c r="I4" s="15" t="inlineStr">
        <is>
          <t>未着手</t>
        </is>
      </c>
      <c r="J4" s="15" t="inlineStr">
        <is>
          <t>0%</t>
        </is>
      </c>
      <c r="K4" s="15" t="inlineStr">
        <is>
          <t>確認済み資料</t>
        </is>
      </c>
      <c r="L4" s="15" t="inlineStr"/>
    </row>
    <row r="5">
      <c r="A5" s="17" t="inlineStr">
        <is>
          <t>S-04</t>
        </is>
      </c>
      <c r="B5" s="17" t="inlineStr">
        <is>
          <t>営業準備</t>
        </is>
      </c>
      <c r="C5" s="17" t="inlineStr">
        <is>
          <t>テレアポロープレ実施</t>
        </is>
      </c>
      <c r="D5" s="17" t="inlineStr">
        <is>
          <t>スクリプトを使って練習。反論対応の確認</t>
        </is>
      </c>
      <c r="E5" s="17" t="inlineStr">
        <is>
          <t>全員</t>
        </is>
      </c>
      <c r="F5" s="16" t="inlineStr">
        <is>
          <t>高</t>
        </is>
      </c>
      <c r="G5" s="17" t="inlineStr">
        <is>
          <t>2026/3/27</t>
        </is>
      </c>
      <c r="H5" s="17" t="inlineStr">
        <is>
          <t>2026/3/28</t>
        </is>
      </c>
      <c r="I5" s="17" t="inlineStr">
        <is>
          <t>未着手</t>
        </is>
      </c>
      <c r="J5" s="17" t="inlineStr">
        <is>
          <t>0%</t>
        </is>
      </c>
      <c r="K5" s="17" t="inlineStr"/>
      <c r="L5" s="17" t="inlineStr"/>
    </row>
    <row r="6">
      <c r="A6" s="15" t="inlineStr">
        <is>
          <t>S-05</t>
        </is>
      </c>
      <c r="B6" s="15" t="inlineStr">
        <is>
          <t>PF掲載営業</t>
        </is>
      </c>
      <c r="C6" s="15" t="inlineStr">
        <is>
          <t>テレアポ実施（鹿児島）Week2</t>
        </is>
      </c>
      <c r="D6" s="15" t="inlineStr">
        <is>
          <t>目標80件コール</t>
        </is>
      </c>
      <c r="E6" s="15" t="inlineStr">
        <is>
          <t>右田</t>
        </is>
      </c>
      <c r="F6" s="16" t="inlineStr">
        <is>
          <t>高</t>
        </is>
      </c>
      <c r="G6" s="15" t="inlineStr">
        <is>
          <t>2026/3/31</t>
        </is>
      </c>
      <c r="H6" s="15" t="inlineStr">
        <is>
          <t>2026/4/4</t>
        </is>
      </c>
      <c r="I6" s="15" t="inlineStr">
        <is>
          <t>未着手</t>
        </is>
      </c>
      <c r="J6" s="15" t="inlineStr">
        <is>
          <t>0%</t>
        </is>
      </c>
      <c r="K6" s="15" t="inlineStr"/>
      <c r="L6" s="15" t="inlineStr"/>
    </row>
    <row r="7">
      <c r="A7" s="17" t="inlineStr">
        <is>
          <t>S-06</t>
        </is>
      </c>
      <c r="B7" s="17" t="inlineStr">
        <is>
          <t>マーケ支援営業</t>
        </is>
      </c>
      <c r="C7" s="17" t="inlineStr">
        <is>
          <t>テレアポ実施（全国）Week2</t>
        </is>
      </c>
      <c r="D7" s="17" t="inlineStr">
        <is>
          <t>目標40件コール</t>
        </is>
      </c>
      <c r="E7" s="17" t="inlineStr">
        <is>
          <t>営業A</t>
        </is>
      </c>
      <c r="F7" s="16" t="inlineStr">
        <is>
          <t>高</t>
        </is>
      </c>
      <c r="G7" s="17" t="inlineStr">
        <is>
          <t>2026/3/31</t>
        </is>
      </c>
      <c r="H7" s="17" t="inlineStr">
        <is>
          <t>2026/4/4</t>
        </is>
      </c>
      <c r="I7" s="17" t="inlineStr">
        <is>
          <t>未着手</t>
        </is>
      </c>
      <c r="J7" s="17" t="inlineStr">
        <is>
          <t>0%</t>
        </is>
      </c>
      <c r="K7" s="17" t="inlineStr"/>
      <c r="L7" s="17" t="inlineStr"/>
    </row>
    <row r="8">
      <c r="A8" s="15" t="inlineStr">
        <is>
          <t>S-07</t>
        </is>
      </c>
      <c r="B8" s="15" t="inlineStr">
        <is>
          <t>PF掲載営業</t>
        </is>
      </c>
      <c r="C8" s="15" t="inlineStr">
        <is>
          <t>資料送付フォロー</t>
        </is>
      </c>
      <c r="D8" s="15" t="inlineStr">
        <is>
          <t>テレアポ後の資料送付＋翌日フォロー</t>
        </is>
      </c>
      <c r="E8" s="15" t="inlineStr">
        <is>
          <t>右田</t>
        </is>
      </c>
      <c r="F8" s="16" t="inlineStr">
        <is>
          <t>高</t>
        </is>
      </c>
      <c r="G8" s="15" t="inlineStr">
        <is>
          <t>2026/4/1</t>
        </is>
      </c>
      <c r="H8" s="15" t="inlineStr">
        <is>
          <t>2026/4/11</t>
        </is>
      </c>
      <c r="I8" s="15" t="inlineStr">
        <is>
          <t>未着手</t>
        </is>
      </c>
      <c r="J8" s="15" t="inlineStr">
        <is>
          <t>0%</t>
        </is>
      </c>
      <c r="K8" s="15" t="inlineStr"/>
      <c r="L8" s="15" t="inlineStr"/>
    </row>
    <row r="9">
      <c r="A9" s="17" t="inlineStr">
        <is>
          <t>S-08</t>
        </is>
      </c>
      <c r="B9" s="17" t="inlineStr">
        <is>
          <t>PF掲載営業</t>
        </is>
      </c>
      <c r="C9" s="17" t="inlineStr">
        <is>
          <t>テレアポ継続（鹿児島）Week3</t>
        </is>
      </c>
      <c r="D9" s="17" t="inlineStr">
        <is>
          <t>目標60件コール</t>
        </is>
      </c>
      <c r="E9" s="17" t="inlineStr">
        <is>
          <t>右田</t>
        </is>
      </c>
      <c r="F9" s="16" t="inlineStr">
        <is>
          <t>高</t>
        </is>
      </c>
      <c r="G9" s="17" t="inlineStr">
        <is>
          <t>2026/4/7</t>
        </is>
      </c>
      <c r="H9" s="17" t="inlineStr">
        <is>
          <t>2026/4/11</t>
        </is>
      </c>
      <c r="I9" s="17" t="inlineStr">
        <is>
          <t>未着手</t>
        </is>
      </c>
      <c r="J9" s="17" t="inlineStr">
        <is>
          <t>0%</t>
        </is>
      </c>
      <c r="K9" s="17" t="inlineStr"/>
      <c r="L9" s="17" t="inlineStr"/>
    </row>
    <row r="10">
      <c r="A10" s="15" t="inlineStr">
        <is>
          <t>S-09</t>
        </is>
      </c>
      <c r="B10" s="15" t="inlineStr">
        <is>
          <t>マーケ支援営業</t>
        </is>
      </c>
      <c r="C10" s="15" t="inlineStr">
        <is>
          <t>オンライン商談（マーケ支援）</t>
        </is>
      </c>
      <c r="D10" s="15" t="inlineStr">
        <is>
          <t>目標3〜5社</t>
        </is>
      </c>
      <c r="E10" s="15" t="inlineStr">
        <is>
          <t>営業A</t>
        </is>
      </c>
      <c r="F10" s="16" t="inlineStr">
        <is>
          <t>高</t>
        </is>
      </c>
      <c r="G10" s="15" t="inlineStr">
        <is>
          <t>2026/4/7</t>
        </is>
      </c>
      <c r="H10" s="15" t="inlineStr">
        <is>
          <t>2026/4/11</t>
        </is>
      </c>
      <c r="I10" s="15" t="inlineStr">
        <is>
          <t>未着手</t>
        </is>
      </c>
      <c r="J10" s="15" t="inlineStr">
        <is>
          <t>0%</t>
        </is>
      </c>
      <c r="K10" s="15" t="inlineStr"/>
      <c r="L10" s="15" t="inlineStr"/>
    </row>
    <row r="11">
      <c r="A11" s="17" t="inlineStr">
        <is>
          <t>S-10</t>
        </is>
      </c>
      <c r="B11" s="17" t="inlineStr">
        <is>
          <t>PF掲載営業</t>
        </is>
      </c>
      <c r="C11" s="17" t="inlineStr">
        <is>
          <t>訪問商談（PF掲載）</t>
        </is>
      </c>
      <c r="D11" s="17" t="inlineStr">
        <is>
          <t>資料送付先への訪問提案</t>
        </is>
      </c>
      <c r="E11" s="17" t="inlineStr">
        <is>
          <t>右田</t>
        </is>
      </c>
      <c r="F11" s="16" t="inlineStr">
        <is>
          <t>高</t>
        </is>
      </c>
      <c r="G11" s="17" t="inlineStr">
        <is>
          <t>2026/4/7</t>
        </is>
      </c>
      <c r="H11" s="17" t="inlineStr">
        <is>
          <t>2026/4/18</t>
        </is>
      </c>
      <c r="I11" s="17" t="inlineStr">
        <is>
          <t>未着手</t>
        </is>
      </c>
      <c r="J11" s="17" t="inlineStr">
        <is>
          <t>0%</t>
        </is>
      </c>
      <c r="K11" s="17" t="inlineStr"/>
      <c r="L11" s="17" t="inlineStr"/>
    </row>
    <row r="12">
      <c r="A12" s="15" t="inlineStr">
        <is>
          <t>S-11</t>
        </is>
      </c>
      <c r="B12" s="15" t="inlineStr">
        <is>
          <t>PF掲載営業</t>
        </is>
      </c>
      <c r="C12" s="15" t="inlineStr">
        <is>
          <t>フリープラン申込クロージング</t>
        </is>
      </c>
      <c r="D12" s="15" t="inlineStr">
        <is>
          <t>期限4/20。未返答企業への最終フォロー</t>
        </is>
      </c>
      <c r="E12" s="15" t="inlineStr">
        <is>
          <t>右田</t>
        </is>
      </c>
      <c r="F12" s="16" t="inlineStr">
        <is>
          <t>高</t>
        </is>
      </c>
      <c r="G12" s="15" t="inlineStr">
        <is>
          <t>2026/4/14</t>
        </is>
      </c>
      <c r="H12" s="15" t="inlineStr">
        <is>
          <t>2026/4/20</t>
        </is>
      </c>
      <c r="I12" s="15" t="inlineStr">
        <is>
          <t>未着手</t>
        </is>
      </c>
      <c r="J12" s="15" t="inlineStr">
        <is>
          <t>0%</t>
        </is>
      </c>
      <c r="K12" s="15" t="inlineStr"/>
      <c r="L12" s="15" t="inlineStr"/>
    </row>
    <row r="13">
      <c r="A13" s="17" t="inlineStr">
        <is>
          <t>S-12</t>
        </is>
      </c>
      <c r="B13" s="17" t="inlineStr">
        <is>
          <t>マーケ支援営業</t>
        </is>
      </c>
      <c r="C13" s="17" t="inlineStr">
        <is>
          <t>マーケ支援 契約クロージング</t>
        </is>
      </c>
      <c r="D13" s="17" t="inlineStr">
        <is>
          <t>見積提出済み企業への最終提案</t>
        </is>
      </c>
      <c r="E13" s="17" t="inlineStr">
        <is>
          <t>営業A</t>
        </is>
      </c>
      <c r="F13" s="16" t="inlineStr">
        <is>
          <t>高</t>
        </is>
      </c>
      <c r="G13" s="17" t="inlineStr">
        <is>
          <t>2026/4/14</t>
        </is>
      </c>
      <c r="H13" s="17" t="inlineStr">
        <is>
          <t>2026/4/20</t>
        </is>
      </c>
      <c r="I13" s="17" t="inlineStr">
        <is>
          <t>未着手</t>
        </is>
      </c>
      <c r="J13" s="17" t="inlineStr">
        <is>
          <t>0%</t>
        </is>
      </c>
      <c r="K13" s="17" t="inlineStr"/>
      <c r="L13" s="17" t="inlineStr"/>
    </row>
    <row r="14">
      <c r="A14" s="15" t="inlineStr">
        <is>
          <t>S-13</t>
        </is>
      </c>
      <c r="B14" s="15" t="inlineStr">
        <is>
          <t>掲載準備</t>
        </is>
      </c>
      <c r="C14" s="15" t="inlineStr">
        <is>
          <t>掲載ページ作成</t>
        </is>
      </c>
      <c r="D14" s="15" t="inlineStr">
        <is>
          <t>申込企業の紹介ページをCMSで構築</t>
        </is>
      </c>
      <c r="E14" s="15" t="inlineStr">
        <is>
          <t>制作</t>
        </is>
      </c>
      <c r="F14" s="16" t="inlineStr">
        <is>
          <t>高</t>
        </is>
      </c>
      <c r="G14" s="15" t="inlineStr">
        <is>
          <t>2026/4/21</t>
        </is>
      </c>
      <c r="H14" s="15" t="inlineStr">
        <is>
          <t>2026/4/30</t>
        </is>
      </c>
      <c r="I14" s="15" t="inlineStr">
        <is>
          <t>未着手</t>
        </is>
      </c>
      <c r="J14" s="15" t="inlineStr">
        <is>
          <t>0%</t>
        </is>
      </c>
      <c r="K14" s="15" t="inlineStr">
        <is>
          <t>掲載ページ</t>
        </is>
      </c>
      <c r="L14" s="15" t="inlineStr"/>
    </row>
    <row r="15">
      <c r="A15" s="17" t="inlineStr">
        <is>
          <t>S-14</t>
        </is>
      </c>
      <c r="B15" s="17" t="inlineStr">
        <is>
          <t>運用</t>
        </is>
      </c>
      <c r="C15" s="17" t="inlineStr">
        <is>
          <t>初回撮影（マーケ支援）</t>
        </is>
      </c>
      <c r="D15" s="17" t="inlineStr">
        <is>
          <t>契約企業の初回ルームツアー撮影</t>
        </is>
      </c>
      <c r="E15" s="17" t="inlineStr">
        <is>
          <t>制作</t>
        </is>
      </c>
      <c r="F15" s="16" t="inlineStr">
        <is>
          <t>高</t>
        </is>
      </c>
      <c r="G15" s="17" t="inlineStr">
        <is>
          <t>2026/4/21</t>
        </is>
      </c>
      <c r="H15" s="17" t="inlineStr">
        <is>
          <t>2026/4/30</t>
        </is>
      </c>
      <c r="I15" s="17" t="inlineStr">
        <is>
          <t>未着手</t>
        </is>
      </c>
      <c r="J15" s="17" t="inlineStr">
        <is>
          <t>0%</t>
        </is>
      </c>
      <c r="K15" s="17" t="inlineStr">
        <is>
          <t>動画素材</t>
        </is>
      </c>
      <c r="L15" s="17" t="inlineStr"/>
    </row>
    <row r="16">
      <c r="A16" s="15" t="inlineStr">
        <is>
          <t>S-15</t>
        </is>
      </c>
      <c r="B16" s="15" t="inlineStr">
        <is>
          <t>掲載準備</t>
        </is>
      </c>
      <c r="C16" s="15" t="inlineStr">
        <is>
          <t>リリース最終準備</t>
        </is>
      </c>
      <c r="D16" s="15" t="inlineStr">
        <is>
          <t>プラットフォーム動作確認・告知準備</t>
        </is>
      </c>
      <c r="E16" s="15" t="inlineStr">
        <is>
          <t>全員</t>
        </is>
      </c>
      <c r="F16" s="16" t="inlineStr">
        <is>
          <t>高</t>
        </is>
      </c>
      <c r="G16" s="15" t="inlineStr">
        <is>
          <t>2026/4/28</t>
        </is>
      </c>
      <c r="H16" s="15" t="inlineStr">
        <is>
          <t>2026/4/30</t>
        </is>
      </c>
      <c r="I16" s="15" t="inlineStr">
        <is>
          <t>未着手</t>
        </is>
      </c>
      <c r="J16" s="15" t="inlineStr">
        <is>
          <t>0%</t>
        </is>
      </c>
      <c r="K16" s="15" t="inlineStr"/>
      <c r="L16" s="15" t="inlineStr"/>
    </row>
    <row r="17">
      <c r="A17" s="17" t="inlineStr">
        <is>
          <t>S-16</t>
        </is>
      </c>
      <c r="B17" s="17" t="inlineStr">
        <is>
          <t>レポート</t>
        </is>
      </c>
      <c r="C17" s="17" t="inlineStr">
        <is>
          <t>月次レポート作成（5月分）</t>
        </is>
      </c>
      <c r="D17" s="17" t="inlineStr">
        <is>
          <t>掲載企業へ5月の閲覧データを報告</t>
        </is>
      </c>
      <c r="E17" s="17" t="inlineStr">
        <is>
          <t>右田</t>
        </is>
      </c>
      <c r="F17" s="17" t="inlineStr">
        <is>
          <t>中</t>
        </is>
      </c>
      <c r="G17" s="17" t="inlineStr">
        <is>
          <t>2026/6/1</t>
        </is>
      </c>
      <c r="H17" s="17" t="inlineStr">
        <is>
          <t>2026/6/5</t>
        </is>
      </c>
      <c r="I17" s="17" t="inlineStr">
        <is>
          <t>未着手</t>
        </is>
      </c>
      <c r="J17" s="17" t="inlineStr">
        <is>
          <t>0%</t>
        </is>
      </c>
      <c r="K17" s="17" t="inlineStr">
        <is>
          <t>レポート</t>
        </is>
      </c>
      <c r="L17" s="17" t="inlineStr"/>
    </row>
    <row r="18">
      <c r="A18" s="15" t="inlineStr">
        <is>
          <t>S-17</t>
        </is>
      </c>
      <c r="B18" s="15" t="inlineStr">
        <is>
          <t>レポート</t>
        </is>
      </c>
      <c r="C18" s="15" t="inlineStr">
        <is>
          <t>月次レポート作成（6月分）</t>
        </is>
      </c>
      <c r="D18" s="15" t="inlineStr">
        <is>
          <t>掲載企業へ6月の閲覧データを報告</t>
        </is>
      </c>
      <c r="E18" s="15" t="inlineStr">
        <is>
          <t>右田</t>
        </is>
      </c>
      <c r="F18" s="15" t="inlineStr">
        <is>
          <t>中</t>
        </is>
      </c>
      <c r="G18" s="15" t="inlineStr">
        <is>
          <t>2026/7/1</t>
        </is>
      </c>
      <c r="H18" s="15" t="inlineStr">
        <is>
          <t>2026/7/5</t>
        </is>
      </c>
      <c r="I18" s="15" t="inlineStr">
        <is>
          <t>未着手</t>
        </is>
      </c>
      <c r="J18" s="15" t="inlineStr">
        <is>
          <t>0%</t>
        </is>
      </c>
      <c r="K18" s="15" t="inlineStr">
        <is>
          <t>レポート</t>
        </is>
      </c>
      <c r="L18" s="15" t="inlineStr"/>
    </row>
    <row r="19">
      <c r="A19" s="17" t="inlineStr">
        <is>
          <t>S-18</t>
        </is>
      </c>
      <c r="B19" s="17" t="inlineStr">
        <is>
          <t>レポート</t>
        </is>
      </c>
      <c r="C19" s="17" t="inlineStr">
        <is>
          <t>3ヶ月総合レポート作成</t>
        </is>
      </c>
      <c r="D19" s="17" t="inlineStr">
        <is>
          <t>各社の3ヶ月実績を総合レポートにまとめる</t>
        </is>
      </c>
      <c r="E19" s="17" t="inlineStr">
        <is>
          <t>右田</t>
        </is>
      </c>
      <c r="F19" s="16" t="inlineStr">
        <is>
          <t>高</t>
        </is>
      </c>
      <c r="G19" s="17" t="inlineStr">
        <is>
          <t>2026/7/15</t>
        </is>
      </c>
      <c r="H19" s="17" t="inlineStr">
        <is>
          <t>2026/7/20</t>
        </is>
      </c>
      <c r="I19" s="17" t="inlineStr">
        <is>
          <t>未着手</t>
        </is>
      </c>
      <c r="J19" s="17" t="inlineStr">
        <is>
          <t>0%</t>
        </is>
      </c>
      <c r="K19" s="17" t="inlineStr">
        <is>
          <t>総合レポート</t>
        </is>
      </c>
      <c r="L19" s="17" t="inlineStr"/>
    </row>
    <row r="20">
      <c r="A20" s="15" t="inlineStr">
        <is>
          <t>S-19</t>
        </is>
      </c>
      <c r="B20" s="15" t="inlineStr">
        <is>
          <t>PF掲載営業</t>
        </is>
      </c>
      <c r="C20" s="15" t="inlineStr">
        <is>
          <t>有料化提案準備</t>
        </is>
      </c>
      <c r="D20" s="15" t="inlineStr">
        <is>
          <t>各社に最適なプランを選定・提案資料準備</t>
        </is>
      </c>
      <c r="E20" s="15" t="inlineStr">
        <is>
          <t>右田</t>
        </is>
      </c>
      <c r="F20" s="16" t="inlineStr">
        <is>
          <t>高</t>
        </is>
      </c>
      <c r="G20" s="15" t="inlineStr">
        <is>
          <t>2026/7/15</t>
        </is>
      </c>
      <c r="H20" s="15" t="inlineStr">
        <is>
          <t>2026/7/25</t>
        </is>
      </c>
      <c r="I20" s="15" t="inlineStr">
        <is>
          <t>未着手</t>
        </is>
      </c>
      <c r="J20" s="15" t="inlineStr">
        <is>
          <t>0%</t>
        </is>
      </c>
      <c r="K20" s="15" t="inlineStr">
        <is>
          <t>提案資料</t>
        </is>
      </c>
      <c r="L20" s="15" t="inlineStr"/>
    </row>
    <row r="21">
      <c r="A21" s="17" t="inlineStr">
        <is>
          <t>S-20</t>
        </is>
      </c>
      <c r="B21" s="17" t="inlineStr">
        <is>
          <t>PF掲載営業</t>
        </is>
      </c>
      <c r="C21" s="17" t="inlineStr">
        <is>
          <t>有料化提案訪問</t>
        </is>
      </c>
      <c r="D21" s="17" t="inlineStr">
        <is>
          <t>全掲載企業を訪問し有料プランを提案</t>
        </is>
      </c>
      <c r="E21" s="17" t="inlineStr">
        <is>
          <t>右田</t>
        </is>
      </c>
      <c r="F21" s="16" t="inlineStr">
        <is>
          <t>高</t>
        </is>
      </c>
      <c r="G21" s="17" t="inlineStr">
        <is>
          <t>2026/7/20</t>
        </is>
      </c>
      <c r="H21" s="17" t="inlineStr">
        <is>
          <t>2026/7/31</t>
        </is>
      </c>
      <c r="I21" s="17" t="inlineStr">
        <is>
          <t>未着手</t>
        </is>
      </c>
      <c r="J21" s="17" t="inlineStr">
        <is>
          <t>0%</t>
        </is>
      </c>
      <c r="K21" s="17" t="inlineStr"/>
      <c r="L21" s="17" t="inlineStr"/>
    </row>
  </sheetData>
  <autoFilter ref="A1:L100"/>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showDropDown="0" showInputMessage="0" showErrorMessage="0" allowBlank="1" errorTitle="無効な値" error="選択肢から選んでください" type="list">
      <formula1>"営業準備,PF掲載営業,マーケ支援営業,掲載準備,運用,レポート,管理"</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errorTitle="無効な値" error="選択肢から選んでください" type="list">
      <formula1>"右田,営業A,営業B,制作,全員"</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showDropDown="0" showInputMessage="0" showErrorMessage="0" allowBlank="1" errorTitle="無効な値" error="選択肢から選んでください" type="list">
      <formula1>"高,中,低"</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errorTitle="無効な値" error="選択肢から選んでください" type="list">
      <formula1>"未着手,進行中,確認中,完了,保留"</formula1>
    </dataValidation>
  </dataValidations>
  <pageMargins left="0.75" right="0.75" top="1" bottom="1" header="0.5" footer="0.5"/>
</worksheet>
</file>

<file path=xl/worksheets/sheet8.xml><?xml version="1.0" encoding="utf-8"?>
<worksheet xmlns="http://schemas.openxmlformats.org/spreadsheetml/2006/main">
  <sheetPr>
    <tabColor rgb="00C0392B"/>
    <outlinePr summaryBelow="1" summaryRight="1"/>
    <pageSetUpPr/>
  </sheetPr>
  <dimension ref="A1:N2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月次KPI管理</t>
        </is>
      </c>
    </row>
    <row r="3">
      <c r="A3" s="14" t="inlineStr">
        <is>
          <t>月</t>
        </is>
      </c>
      <c r="B3" s="14" t="inlineStr">
        <is>
          <t>PF掲載社数</t>
        </is>
      </c>
      <c r="C3" s="14" t="inlineStr">
        <is>
          <t>マーケ契約数</t>
        </is>
      </c>
      <c r="D3" s="14" t="inlineStr">
        <is>
          <t>テレアポ数</t>
        </is>
      </c>
      <c r="E3" s="14" t="inlineStr">
        <is>
          <t>商談数</t>
        </is>
      </c>
      <c r="F3" s="14" t="inlineStr">
        <is>
          <t>新規契約</t>
        </is>
      </c>
      <c r="G3" s="14" t="inlineStr">
        <is>
          <t>月間PV</t>
        </is>
      </c>
      <c r="H3" s="14" t="inlineStr">
        <is>
          <t>リード数</t>
        </is>
      </c>
      <c r="I3" s="14" t="inlineStr">
        <is>
          <t>PF売上</t>
        </is>
      </c>
      <c r="J3" s="14" t="inlineStr">
        <is>
          <t>マーケ売上</t>
        </is>
      </c>
      <c r="K3" s="14" t="inlineStr">
        <is>
          <t>合計売上</t>
        </is>
      </c>
      <c r="L3" s="14" t="inlineStr">
        <is>
          <t>累計売上</t>
        </is>
      </c>
      <c r="M3" s="14" t="inlineStr">
        <is>
          <t>解約数</t>
        </is>
      </c>
      <c r="N3" s="14" t="inlineStr">
        <is>
          <t>解約率</t>
        </is>
      </c>
    </row>
    <row r="4">
      <c r="A4" s="23" t="inlineStr"/>
      <c r="B4" s="23" t="n">
        <v>20</v>
      </c>
      <c r="C4" s="23" t="n">
        <v>3</v>
      </c>
      <c r="D4" s="23" t="n">
        <v>200</v>
      </c>
      <c r="E4" s="23" t="n">
        <v>8</v>
      </c>
      <c r="F4" s="23" t="n">
        <v>5</v>
      </c>
      <c r="G4" s="23" t="n">
        <v>5000</v>
      </c>
      <c r="H4" s="23" t="n">
        <v>10</v>
      </c>
      <c r="I4" s="23" t="n">
        <v>0</v>
      </c>
      <c r="J4" s="23" t="n">
        <v>240000</v>
      </c>
      <c r="K4" s="23" t="n">
        <v>240000</v>
      </c>
      <c r="L4" s="23" t="n">
        <v>240000</v>
      </c>
      <c r="M4" s="23" t="n">
        <v>0</v>
      </c>
      <c r="N4" s="23" t="inlineStr">
        <is>
          <t>0%</t>
        </is>
      </c>
    </row>
    <row r="5">
      <c r="A5" s="15" t="inlineStr">
        <is>
          <t>4月</t>
        </is>
      </c>
      <c r="B5" s="15" t="n"/>
      <c r="C5" s="15" t="n"/>
      <c r="D5" s="15" t="n"/>
      <c r="E5" s="15" t="n"/>
      <c r="F5" s="15" t="n"/>
      <c r="G5" s="15" t="n"/>
      <c r="H5" s="15" t="n"/>
      <c r="I5" s="20" t="n"/>
      <c r="J5" s="20" t="n"/>
      <c r="K5" s="20" t="n"/>
      <c r="L5" s="20" t="n"/>
      <c r="M5" s="20" t="n"/>
      <c r="N5" s="20" t="n"/>
    </row>
    <row r="6">
      <c r="A6" s="17" t="inlineStr">
        <is>
          <t>5月</t>
        </is>
      </c>
      <c r="B6" s="17" t="n"/>
      <c r="C6" s="17" t="n"/>
      <c r="D6" s="17" t="n"/>
      <c r="E6" s="17" t="n"/>
      <c r="F6" s="17" t="n"/>
      <c r="G6" s="17" t="n"/>
      <c r="H6" s="17" t="n"/>
      <c r="I6" s="21" t="n"/>
      <c r="J6" s="21" t="n"/>
      <c r="K6" s="21" t="n"/>
      <c r="L6" s="21" t="n"/>
      <c r="M6" s="21" t="n"/>
      <c r="N6" s="21" t="n"/>
    </row>
    <row r="7">
      <c r="A7" s="15" t="inlineStr">
        <is>
          <t>6月</t>
        </is>
      </c>
      <c r="B7" s="15" t="n"/>
      <c r="C7" s="15" t="n"/>
      <c r="D7" s="15" t="n"/>
      <c r="E7" s="15" t="n"/>
      <c r="F7" s="15" t="n"/>
      <c r="G7" s="15" t="n"/>
      <c r="H7" s="15" t="n"/>
      <c r="I7" s="20" t="n"/>
      <c r="J7" s="20" t="n"/>
      <c r="K7" s="20" t="n"/>
      <c r="L7" s="20" t="n"/>
      <c r="M7" s="20" t="n"/>
      <c r="N7" s="20" t="n"/>
    </row>
    <row r="8">
      <c r="A8" s="17" t="inlineStr">
        <is>
          <t>7月</t>
        </is>
      </c>
      <c r="B8" s="17" t="n"/>
      <c r="C8" s="17" t="n"/>
      <c r="D8" s="17" t="n"/>
      <c r="E8" s="17" t="n"/>
      <c r="F8" s="17" t="n"/>
      <c r="G8" s="17" t="n"/>
      <c r="H8" s="17" t="n"/>
      <c r="I8" s="21" t="n"/>
      <c r="J8" s="21" t="n"/>
      <c r="K8" s="21" t="n"/>
      <c r="L8" s="21" t="n"/>
      <c r="M8" s="21" t="n"/>
      <c r="N8" s="21" t="n"/>
    </row>
    <row r="9">
      <c r="A9" s="15" t="inlineStr">
        <is>
          <t>8月</t>
        </is>
      </c>
      <c r="B9" s="15" t="n"/>
      <c r="C9" s="15" t="n"/>
      <c r="D9" s="15" t="n"/>
      <c r="E9" s="15" t="n"/>
      <c r="F9" s="15" t="n"/>
      <c r="G9" s="15" t="n"/>
      <c r="H9" s="15" t="n"/>
      <c r="I9" s="20" t="n"/>
      <c r="J9" s="20" t="n"/>
      <c r="K9" s="20" t="n"/>
      <c r="L9" s="20" t="n"/>
      <c r="M9" s="20" t="n"/>
      <c r="N9" s="20" t="n"/>
    </row>
    <row r="10">
      <c r="A10" s="17" t="inlineStr">
        <is>
          <t>9月</t>
        </is>
      </c>
      <c r="B10" s="17" t="n"/>
      <c r="C10" s="17" t="n"/>
      <c r="D10" s="17" t="n"/>
      <c r="E10" s="17" t="n"/>
      <c r="F10" s="17" t="n"/>
      <c r="G10" s="17" t="n"/>
      <c r="H10" s="17" t="n"/>
      <c r="I10" s="21" t="n"/>
      <c r="J10" s="21" t="n"/>
      <c r="K10" s="21" t="n"/>
      <c r="L10" s="21" t="n"/>
      <c r="M10" s="21" t="n"/>
      <c r="N10" s="21" t="n"/>
    </row>
    <row r="11">
      <c r="A11" s="15" t="inlineStr">
        <is>
          <t>10月</t>
        </is>
      </c>
      <c r="B11" s="15" t="n"/>
      <c r="C11" s="15" t="n"/>
      <c r="D11" s="15" t="n"/>
      <c r="E11" s="15" t="n"/>
      <c r="F11" s="15" t="n"/>
      <c r="G11" s="15" t="n"/>
      <c r="H11" s="15" t="n"/>
      <c r="I11" s="20" t="n"/>
      <c r="J11" s="20" t="n"/>
      <c r="K11" s="20" t="n"/>
      <c r="L11" s="20" t="n"/>
      <c r="M11" s="20" t="n"/>
      <c r="N11" s="20" t="n"/>
    </row>
    <row r="12">
      <c r="A12" s="17" t="inlineStr">
        <is>
          <t>11月</t>
        </is>
      </c>
      <c r="B12" s="17" t="n"/>
      <c r="C12" s="17" t="n"/>
      <c r="D12" s="17" t="n"/>
      <c r="E12" s="17" t="n"/>
      <c r="F12" s="17" t="n"/>
      <c r="G12" s="17" t="n"/>
      <c r="H12" s="17" t="n"/>
      <c r="I12" s="21" t="n"/>
      <c r="J12" s="21" t="n"/>
      <c r="K12" s="21" t="n"/>
      <c r="L12" s="21" t="n"/>
      <c r="M12" s="21" t="n"/>
      <c r="N12" s="21" t="n"/>
    </row>
    <row r="13">
      <c r="A13" s="15" t="inlineStr">
        <is>
          <t>12月</t>
        </is>
      </c>
      <c r="B13" s="15" t="n"/>
      <c r="C13" s="15" t="n"/>
      <c r="D13" s="15" t="n"/>
      <c r="E13" s="15" t="n"/>
      <c r="F13" s="15" t="n"/>
      <c r="G13" s="15" t="n"/>
      <c r="H13" s="15" t="n"/>
      <c r="I13" s="20" t="n"/>
      <c r="J13" s="20" t="n"/>
      <c r="K13" s="20" t="n"/>
      <c r="L13" s="20" t="n"/>
      <c r="M13" s="20" t="n"/>
      <c r="N13" s="20" t="n"/>
    </row>
    <row r="16">
      <c r="A16" s="8" t="inlineStr">
        <is>
          <t>週次KPI</t>
        </is>
      </c>
    </row>
    <row r="17">
      <c r="A17" s="14" t="inlineStr">
        <is>
          <t>週</t>
        </is>
      </c>
      <c r="B17" s="14" t="inlineStr">
        <is>
          <t>開始日</t>
        </is>
      </c>
      <c r="C17" s="14" t="inlineStr">
        <is>
          <t>終了日</t>
        </is>
      </c>
      <c r="D17" s="14" t="inlineStr">
        <is>
          <t>コール数（鹿児島）</t>
        </is>
      </c>
      <c r="E17" s="14" t="inlineStr">
        <is>
          <t>コール数（全国）</t>
        </is>
      </c>
      <c r="F17" s="14" t="inlineStr">
        <is>
          <t>受付突破</t>
        </is>
      </c>
      <c r="G17" s="14" t="inlineStr">
        <is>
          <t>資料送付</t>
        </is>
      </c>
      <c r="H17" s="14" t="inlineStr">
        <is>
          <t>商談</t>
        </is>
      </c>
      <c r="I17" s="14" t="inlineStr">
        <is>
          <t>申込/契約</t>
        </is>
      </c>
      <c r="J17" s="14" t="inlineStr">
        <is>
          <t>担当</t>
        </is>
      </c>
      <c r="K17" s="14" t="inlineStr">
        <is>
          <t>メモ</t>
        </is>
      </c>
    </row>
    <row r="18">
      <c r="A18" s="15" t="inlineStr">
        <is>
          <t>Week 1</t>
        </is>
      </c>
      <c r="B18" s="15" t="n"/>
      <c r="C18" s="15" t="n"/>
      <c r="D18" s="15" t="n"/>
      <c r="E18" s="15" t="n"/>
      <c r="F18" s="15" t="n"/>
      <c r="G18" s="15" t="n"/>
      <c r="H18" s="15" t="n"/>
      <c r="I18" s="15" t="n"/>
      <c r="J18" s="15" t="n"/>
      <c r="K18" s="15" t="n"/>
    </row>
    <row r="19">
      <c r="A19" s="17" t="inlineStr">
        <is>
          <t>Week 2</t>
        </is>
      </c>
      <c r="B19" s="17" t="n"/>
      <c r="C19" s="17" t="n"/>
      <c r="D19" s="17" t="n"/>
      <c r="E19" s="17" t="n"/>
      <c r="F19" s="17" t="n"/>
      <c r="G19" s="17" t="n"/>
      <c r="H19" s="17" t="n"/>
      <c r="I19" s="17" t="n"/>
      <c r="J19" s="17" t="n"/>
      <c r="K19" s="17" t="n"/>
    </row>
    <row r="20">
      <c r="A20" s="15" t="inlineStr">
        <is>
          <t>Week 3</t>
        </is>
      </c>
      <c r="B20" s="15" t="n"/>
      <c r="C20" s="15" t="n"/>
      <c r="D20" s="15" t="n"/>
      <c r="E20" s="15" t="n"/>
      <c r="F20" s="15" t="n"/>
      <c r="G20" s="15" t="n"/>
      <c r="H20" s="15" t="n"/>
      <c r="I20" s="15" t="n"/>
      <c r="J20" s="15" t="n"/>
      <c r="K20" s="15" t="n"/>
    </row>
    <row r="21">
      <c r="A21" s="17" t="inlineStr">
        <is>
          <t>Week 4</t>
        </is>
      </c>
      <c r="B21" s="17" t="n"/>
      <c r="C21" s="17" t="n"/>
      <c r="D21" s="17" t="n"/>
      <c r="E21" s="17" t="n"/>
      <c r="F21" s="17" t="n"/>
      <c r="G21" s="17" t="n"/>
      <c r="H21" s="17" t="n"/>
      <c r="I21" s="17" t="n"/>
      <c r="J21" s="17" t="n"/>
      <c r="K21" s="17" t="n"/>
    </row>
    <row r="22">
      <c r="A22" s="15" t="inlineStr">
        <is>
          <t>Week 5</t>
        </is>
      </c>
      <c r="B22" s="15" t="n"/>
      <c r="C22" s="15" t="n"/>
      <c r="D22" s="15" t="n"/>
      <c r="E22" s="15" t="n"/>
      <c r="F22" s="15" t="n"/>
      <c r="G22" s="15" t="n"/>
      <c r="H22" s="15" t="n"/>
      <c r="I22" s="15" t="n"/>
      <c r="J22" s="15" t="n"/>
      <c r="K22" s="15" t="n"/>
    </row>
    <row r="23">
      <c r="A23" s="17" t="inlineStr">
        <is>
          <t>Week 6</t>
        </is>
      </c>
      <c r="B23" s="17" t="n"/>
      <c r="C23" s="17" t="n"/>
      <c r="D23" s="17" t="n"/>
      <c r="E23" s="17" t="n"/>
      <c r="F23" s="17" t="n"/>
      <c r="G23" s="17" t="n"/>
      <c r="H23" s="17" t="n"/>
      <c r="I23" s="17" t="n"/>
      <c r="J23" s="17" t="n"/>
      <c r="K23" s="17" t="n"/>
    </row>
    <row r="24">
      <c r="A24" s="15" t="inlineStr">
        <is>
          <t>Week 7</t>
        </is>
      </c>
      <c r="B24" s="15" t="n"/>
      <c r="C24" s="15" t="n"/>
      <c r="D24" s="15" t="n"/>
      <c r="E24" s="15" t="n"/>
      <c r="F24" s="15" t="n"/>
      <c r="G24" s="15" t="n"/>
      <c r="H24" s="15" t="n"/>
      <c r="I24" s="15" t="n"/>
      <c r="J24" s="15" t="n"/>
      <c r="K24" s="15" t="n"/>
    </row>
    <row r="25">
      <c r="A25" s="17" t="inlineStr">
        <is>
          <t>Week 8</t>
        </is>
      </c>
      <c r="B25" s="17" t="n"/>
      <c r="C25" s="17" t="n"/>
      <c r="D25" s="17" t="n"/>
      <c r="E25" s="17" t="n"/>
      <c r="F25" s="17" t="n"/>
      <c r="G25" s="17" t="n"/>
      <c r="H25" s="17" t="n"/>
      <c r="I25" s="17" t="n"/>
      <c r="J25" s="17" t="n"/>
      <c r="K25" s="17" t="n"/>
    </row>
    <row r="26">
      <c r="A26" s="15" t="inlineStr">
        <is>
          <t>Week 9</t>
        </is>
      </c>
      <c r="B26" s="15" t="n"/>
      <c r="C26" s="15" t="n"/>
      <c r="D26" s="15" t="n"/>
      <c r="E26" s="15" t="n"/>
      <c r="F26" s="15" t="n"/>
      <c r="G26" s="15" t="n"/>
      <c r="H26" s="15" t="n"/>
      <c r="I26" s="15" t="n"/>
      <c r="J26" s="15" t="n"/>
      <c r="K26" s="15" t="n"/>
    </row>
    <row r="27">
      <c r="A27" s="17" t="inlineStr">
        <is>
          <t>Week 10</t>
        </is>
      </c>
      <c r="B27" s="17" t="n"/>
      <c r="C27" s="17" t="n"/>
      <c r="D27" s="17" t="n"/>
      <c r="E27" s="17" t="n"/>
      <c r="F27" s="17" t="n"/>
      <c r="G27" s="17" t="n"/>
      <c r="H27" s="17" t="n"/>
      <c r="I27" s="17" t="n"/>
      <c r="J27" s="17" t="n"/>
      <c r="K27" s="17" t="n"/>
    </row>
    <row r="28">
      <c r="A28" s="15" t="inlineStr">
        <is>
          <t>Week 11</t>
        </is>
      </c>
      <c r="B28" s="15" t="n"/>
      <c r="C28" s="15" t="n"/>
      <c r="D28" s="15" t="n"/>
      <c r="E28" s="15" t="n"/>
      <c r="F28" s="15" t="n"/>
      <c r="G28" s="15" t="n"/>
      <c r="H28" s="15" t="n"/>
      <c r="I28" s="15" t="n"/>
      <c r="J28" s="15" t="n"/>
      <c r="K28" s="15" t="n"/>
    </row>
    <row r="29">
      <c r="A29" s="17" t="inlineStr">
        <is>
          <t>Week 12</t>
        </is>
      </c>
      <c r="B29" s="17" t="n"/>
      <c r="C29" s="17" t="n"/>
      <c r="D29" s="17" t="n"/>
      <c r="E29" s="17" t="n"/>
      <c r="F29" s="17" t="n"/>
      <c r="G29" s="17" t="n"/>
      <c r="H29" s="17" t="n"/>
      <c r="I29" s="17" t="n"/>
      <c r="J29" s="17" t="n"/>
      <c r="K29" s="17" t="n"/>
    </row>
  </sheetData>
  <mergeCells count="2">
    <mergeCell ref="A16:N16"/>
    <mergeCell ref="A1:N1"/>
  </mergeCells>
  <pageMargins left="0.75" right="0.75" top="1" bottom="1" header="0.5" footer="0.5"/>
</worksheet>
</file>

<file path=xl/worksheets/sheet9.xml><?xml version="1.0" encoding="utf-8"?>
<worksheet xmlns="http://schemas.openxmlformats.org/spreadsheetml/2006/main">
  <sheetPr>
    <tabColor rgb="00F39C12"/>
    <outlinePr summaryBelow="1" summaryRight="1"/>
    <pageSetUpPr/>
  </sheetPr>
  <dimension ref="A1:I3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収益シミュレーション（3シナリオ）</t>
        </is>
      </c>
    </row>
    <row r="3">
      <c r="A3" s="24" t="inlineStr">
        <is>
          <t>保守的シナリオ</t>
        </is>
      </c>
    </row>
    <row r="4">
      <c r="A4" s="14" t="inlineStr">
        <is>
          <t>月</t>
        </is>
      </c>
      <c r="B4" s="14" t="inlineStr">
        <is>
          <t>PF掲載売上</t>
        </is>
      </c>
      <c r="C4" s="14" t="inlineStr">
        <is>
          <t>マーケ支援売上</t>
        </is>
      </c>
      <c r="D4" s="14" t="inlineStr">
        <is>
          <t>月間合計</t>
        </is>
      </c>
      <c r="E4" s="14" t="inlineStr">
        <is>
          <t>累計</t>
        </is>
      </c>
    </row>
    <row r="5">
      <c r="A5" s="15" t="inlineStr">
        <is>
          <t>5月</t>
        </is>
      </c>
      <c r="B5" s="20" t="n">
        <v>0</v>
      </c>
      <c r="C5" s="20" t="n">
        <v>160000</v>
      </c>
      <c r="D5" s="20">
        <f>B5+C5</f>
        <v/>
      </c>
      <c r="E5" s="20">
        <f>D5</f>
        <v/>
      </c>
    </row>
    <row r="6">
      <c r="A6" s="17" t="inlineStr">
        <is>
          <t>6月</t>
        </is>
      </c>
      <c r="B6" s="21" t="n">
        <v>0</v>
      </c>
      <c r="C6" s="21" t="n">
        <v>240000</v>
      </c>
      <c r="D6" s="21">
        <f>B6+C6</f>
        <v/>
      </c>
      <c r="E6" s="21">
        <f>E5+D6</f>
        <v/>
      </c>
    </row>
    <row r="7">
      <c r="A7" s="15" t="inlineStr">
        <is>
          <t>7月</t>
        </is>
      </c>
      <c r="B7" s="20" t="n">
        <v>0</v>
      </c>
      <c r="C7" s="20" t="n">
        <v>320000</v>
      </c>
      <c r="D7" s="20">
        <f>B7+C7</f>
        <v/>
      </c>
      <c r="E7" s="20">
        <f>E6+D7</f>
        <v/>
      </c>
    </row>
    <row r="8">
      <c r="A8" s="17" t="inlineStr">
        <is>
          <t>8月</t>
        </is>
      </c>
      <c r="B8" s="21" t="n">
        <v>80000</v>
      </c>
      <c r="C8" s="21" t="n">
        <v>400000</v>
      </c>
      <c r="D8" s="21">
        <f>B8+C8</f>
        <v/>
      </c>
      <c r="E8" s="21">
        <f>E7+D8</f>
        <v/>
      </c>
    </row>
    <row r="9">
      <c r="A9" s="15" t="inlineStr">
        <is>
          <t>9月</t>
        </is>
      </c>
      <c r="B9" s="20" t="n">
        <v>100000</v>
      </c>
      <c r="C9" s="20" t="n">
        <v>440000</v>
      </c>
      <c r="D9" s="20">
        <f>B9+C9</f>
        <v/>
      </c>
      <c r="E9" s="20">
        <f>E8+D9</f>
        <v/>
      </c>
    </row>
    <row r="10">
      <c r="A10" s="17" t="inlineStr">
        <is>
          <t>10月</t>
        </is>
      </c>
      <c r="B10" s="21" t="n">
        <v>120000</v>
      </c>
      <c r="C10" s="21" t="n">
        <v>480000</v>
      </c>
      <c r="D10" s="21">
        <f>B10+C10</f>
        <v/>
      </c>
      <c r="E10" s="21">
        <f>E9+D10</f>
        <v/>
      </c>
    </row>
    <row r="11">
      <c r="A11" s="15" t="inlineStr">
        <is>
          <t>11月</t>
        </is>
      </c>
      <c r="B11" s="20" t="n">
        <v>140000</v>
      </c>
      <c r="C11" s="20" t="n">
        <v>520000</v>
      </c>
      <c r="D11" s="20">
        <f>B11+C11</f>
        <v/>
      </c>
      <c r="E11" s="20">
        <f>E10+D11</f>
        <v/>
      </c>
    </row>
    <row r="12">
      <c r="A12" s="17" t="inlineStr">
        <is>
          <t>12月</t>
        </is>
      </c>
      <c r="B12" s="21" t="n">
        <v>160000</v>
      </c>
      <c r="C12" s="21" t="n">
        <v>560000</v>
      </c>
      <c r="D12" s="21">
        <f>B12+C12</f>
        <v/>
      </c>
      <c r="E12" s="21">
        <f>E11+D12</f>
        <v/>
      </c>
    </row>
    <row r="13">
      <c r="A13" s="19" t="inlineStr">
        <is>
          <t>合計</t>
        </is>
      </c>
      <c r="B13" s="25">
        <f>SUM(B5:B12)</f>
        <v/>
      </c>
      <c r="C13" s="25">
        <f>SUM(C5:C12)</f>
        <v/>
      </c>
      <c r="D13" s="25">
        <f>B13+C13</f>
        <v/>
      </c>
    </row>
    <row r="16">
      <c r="A16" s="26" t="inlineStr">
        <is>
          <t>標準シナリオ</t>
        </is>
      </c>
    </row>
    <row r="17">
      <c r="A17" s="14" t="inlineStr">
        <is>
          <t>月</t>
        </is>
      </c>
      <c r="B17" s="14" t="inlineStr">
        <is>
          <t>PF掲載売上</t>
        </is>
      </c>
      <c r="C17" s="14" t="inlineStr">
        <is>
          <t>マーケ支援売上</t>
        </is>
      </c>
      <c r="D17" s="14" t="inlineStr">
        <is>
          <t>月間合計</t>
        </is>
      </c>
      <c r="E17" s="14" t="inlineStr">
        <is>
          <t>累計</t>
        </is>
      </c>
    </row>
    <row r="18">
      <c r="A18" s="15" t="inlineStr">
        <is>
          <t>5月</t>
        </is>
      </c>
      <c r="B18" s="20" t="n">
        <v>0</v>
      </c>
      <c r="C18" s="20" t="n">
        <v>240000</v>
      </c>
      <c r="D18" s="20">
        <f>B18+C18</f>
        <v/>
      </c>
      <c r="E18" s="20">
        <f>D18</f>
        <v/>
      </c>
    </row>
    <row r="19">
      <c r="A19" s="17" t="inlineStr">
        <is>
          <t>6月</t>
        </is>
      </c>
      <c r="B19" s="21" t="n">
        <v>0</v>
      </c>
      <c r="C19" s="21" t="n">
        <v>360000</v>
      </c>
      <c r="D19" s="21">
        <f>B19+C19</f>
        <v/>
      </c>
      <c r="E19" s="21">
        <f>E18+D19</f>
        <v/>
      </c>
    </row>
    <row r="20">
      <c r="A20" s="15" t="inlineStr">
        <is>
          <t>7月</t>
        </is>
      </c>
      <c r="B20" s="20" t="n">
        <v>0</v>
      </c>
      <c r="C20" s="20" t="n">
        <v>480000</v>
      </c>
      <c r="D20" s="20">
        <f>B20+C20</f>
        <v/>
      </c>
      <c r="E20" s="20">
        <f>E19+D20</f>
        <v/>
      </c>
    </row>
    <row r="21">
      <c r="A21" s="17" t="inlineStr">
        <is>
          <t>8月</t>
        </is>
      </c>
      <c r="B21" s="21" t="n">
        <v>150000</v>
      </c>
      <c r="C21" s="21" t="n">
        <v>560000</v>
      </c>
      <c r="D21" s="21">
        <f>B21+C21</f>
        <v/>
      </c>
      <c r="E21" s="21">
        <f>E20+D21</f>
        <v/>
      </c>
    </row>
    <row r="22">
      <c r="A22" s="15" t="inlineStr">
        <is>
          <t>9月</t>
        </is>
      </c>
      <c r="B22" s="20" t="n">
        <v>200000</v>
      </c>
      <c r="C22" s="20" t="n">
        <v>640000</v>
      </c>
      <c r="D22" s="20">
        <f>B22+C22</f>
        <v/>
      </c>
      <c r="E22" s="20">
        <f>E21+D22</f>
        <v/>
      </c>
    </row>
    <row r="23">
      <c r="A23" s="17" t="inlineStr">
        <is>
          <t>10月</t>
        </is>
      </c>
      <c r="B23" s="21" t="n">
        <v>250000</v>
      </c>
      <c r="C23" s="21" t="n">
        <v>720000</v>
      </c>
      <c r="D23" s="21">
        <f>B23+C23</f>
        <v/>
      </c>
      <c r="E23" s="21">
        <f>E22+D23</f>
        <v/>
      </c>
    </row>
    <row r="24">
      <c r="A24" s="15" t="inlineStr">
        <is>
          <t>11月</t>
        </is>
      </c>
      <c r="B24" s="20" t="n">
        <v>280000</v>
      </c>
      <c r="C24" s="20" t="n">
        <v>800000</v>
      </c>
      <c r="D24" s="20">
        <f>B24+C24</f>
        <v/>
      </c>
      <c r="E24" s="20">
        <f>E23+D24</f>
        <v/>
      </c>
    </row>
    <row r="25">
      <c r="A25" s="17" t="inlineStr">
        <is>
          <t>12月</t>
        </is>
      </c>
      <c r="B25" s="21" t="n">
        <v>320000</v>
      </c>
      <c r="C25" s="21" t="n">
        <v>880000</v>
      </c>
      <c r="D25" s="21">
        <f>B25+C25</f>
        <v/>
      </c>
      <c r="E25" s="21">
        <f>E24+D25</f>
        <v/>
      </c>
    </row>
    <row r="26">
      <c r="A26" s="19" t="inlineStr">
        <is>
          <t>合計</t>
        </is>
      </c>
      <c r="B26" s="25">
        <f>SUM(B18:B25)</f>
        <v/>
      </c>
      <c r="C26" s="25">
        <f>SUM(C18:C25)</f>
        <v/>
      </c>
      <c r="D26" s="25">
        <f>B26+C26</f>
        <v/>
      </c>
    </row>
    <row r="29">
      <c r="A29" s="27" t="inlineStr">
        <is>
          <t>楽観的シナリオ</t>
        </is>
      </c>
    </row>
    <row r="30">
      <c r="A30" s="14" t="inlineStr">
        <is>
          <t>月</t>
        </is>
      </c>
      <c r="B30" s="14" t="inlineStr">
        <is>
          <t>PF掲載売上</t>
        </is>
      </c>
      <c r="C30" s="14" t="inlineStr">
        <is>
          <t>マーケ支援売上</t>
        </is>
      </c>
      <c r="D30" s="14" t="inlineStr">
        <is>
          <t>月間合計</t>
        </is>
      </c>
      <c r="E30" s="14" t="inlineStr">
        <is>
          <t>累計</t>
        </is>
      </c>
    </row>
    <row r="31">
      <c r="A31" s="15" t="inlineStr">
        <is>
          <t>5月</t>
        </is>
      </c>
      <c r="B31" s="20" t="n">
        <v>0</v>
      </c>
      <c r="C31" s="20" t="n">
        <v>320000</v>
      </c>
      <c r="D31" s="20">
        <f>B31+C31</f>
        <v/>
      </c>
      <c r="E31" s="20">
        <f>D31</f>
        <v/>
      </c>
    </row>
    <row r="32">
      <c r="A32" s="17" t="inlineStr">
        <is>
          <t>6月</t>
        </is>
      </c>
      <c r="B32" s="21" t="n">
        <v>0</v>
      </c>
      <c r="C32" s="21" t="n">
        <v>480000</v>
      </c>
      <c r="D32" s="21">
        <f>B32+C32</f>
        <v/>
      </c>
      <c r="E32" s="21">
        <f>E31+D32</f>
        <v/>
      </c>
    </row>
    <row r="33">
      <c r="A33" s="15" t="inlineStr">
        <is>
          <t>7月</t>
        </is>
      </c>
      <c r="B33" s="20" t="n">
        <v>0</v>
      </c>
      <c r="C33" s="20" t="n">
        <v>640000</v>
      </c>
      <c r="D33" s="20">
        <f>B33+C33</f>
        <v/>
      </c>
      <c r="E33" s="20">
        <f>E32+D33</f>
        <v/>
      </c>
    </row>
    <row r="34">
      <c r="A34" s="17" t="inlineStr">
        <is>
          <t>8月</t>
        </is>
      </c>
      <c r="B34" s="21" t="n">
        <v>250000</v>
      </c>
      <c r="C34" s="21" t="n">
        <v>800000</v>
      </c>
      <c r="D34" s="21">
        <f>B34+C34</f>
        <v/>
      </c>
      <c r="E34" s="21">
        <f>E33+D34</f>
        <v/>
      </c>
    </row>
    <row r="35">
      <c r="A35" s="15" t="inlineStr">
        <is>
          <t>9月</t>
        </is>
      </c>
      <c r="B35" s="20" t="n">
        <v>350000</v>
      </c>
      <c r="C35" s="20" t="n">
        <v>960000</v>
      </c>
      <c r="D35" s="20">
        <f>B35+C35</f>
        <v/>
      </c>
      <c r="E35" s="20">
        <f>E34+D35</f>
        <v/>
      </c>
    </row>
    <row r="36">
      <c r="A36" s="17" t="inlineStr">
        <is>
          <t>10月</t>
        </is>
      </c>
      <c r="B36" s="21" t="n">
        <v>450000</v>
      </c>
      <c r="C36" s="21" t="n">
        <v>1120000</v>
      </c>
      <c r="D36" s="21">
        <f>B36+C36</f>
        <v/>
      </c>
      <c r="E36" s="21">
        <f>E35+D36</f>
        <v/>
      </c>
    </row>
    <row r="37">
      <c r="A37" s="15" t="inlineStr">
        <is>
          <t>11月</t>
        </is>
      </c>
      <c r="B37" s="20" t="n">
        <v>500000</v>
      </c>
      <c r="C37" s="20" t="n">
        <v>1280000</v>
      </c>
      <c r="D37" s="20">
        <f>B37+C37</f>
        <v/>
      </c>
      <c r="E37" s="20">
        <f>E36+D37</f>
        <v/>
      </c>
    </row>
    <row r="38">
      <c r="A38" s="17" t="inlineStr">
        <is>
          <t>12月</t>
        </is>
      </c>
      <c r="B38" s="21" t="n">
        <v>600000</v>
      </c>
      <c r="C38" s="21" t="n">
        <v>1440000</v>
      </c>
      <c r="D38" s="21">
        <f>B38+C38</f>
        <v/>
      </c>
      <c r="E38" s="21">
        <f>E37+D38</f>
        <v/>
      </c>
    </row>
    <row r="39">
      <c r="A39" s="19" t="inlineStr">
        <is>
          <t>合計</t>
        </is>
      </c>
      <c r="B39" s="25">
        <f>SUM(B31:B38)</f>
        <v/>
      </c>
      <c r="C39" s="25">
        <f>SUM(C31:C38)</f>
        <v/>
      </c>
      <c r="D39" s="25">
        <f>B39+C39</f>
        <v/>
      </c>
    </row>
  </sheetData>
  <mergeCells count="4">
    <mergeCell ref="A1:I1"/>
    <mergeCell ref="A3:I3"/>
    <mergeCell ref="A16:I16"/>
    <mergeCell ref="A29:I29"/>
  </mergeCells>
  <pageMargins left="0.75" right="0.75" top="1" bottom="1" header="0.5" footer="0.5"/>
</worksheet>
</file>

<file path=xl/worksheets/sheet10.xml><?xml version="1.0" encoding="utf-8"?>
<worksheet xmlns="http://schemas.openxmlformats.org/spreadsheetml/2006/main">
  <sheetPr>
    <tabColor rgb="009B59B6"/>
    <outlinePr summaryBelow="1" summaryRight="1"/>
    <pageSetUpPr/>
  </sheetPr>
  <dimension ref="A1:C9"/>
  <sheetViews>
    <sheetView workbookViewId="0">
      <selection activeCell="A1" sqref="A1"/>
    </sheetView>
  </sheetViews>
  <sheetFormatPr baseColWidth="8" defaultRowHeight="15"/>
  <cols>
    <col width="30" customWidth="1" min="1" max="1"/>
    <col width="40" customWidth="1" min="2" max="2"/>
    <col width="80" customWidth="1" min="3" max="3"/>
  </cols>
  <sheetData>
    <row r="1">
      <c r="A1" s="14" t="inlineStr">
        <is>
          <t>テンプレート名</t>
        </is>
      </c>
      <c r="B1" s="14" t="inlineStr">
        <is>
          <t>件名</t>
        </is>
      </c>
      <c r="C1" s="14" t="inlineStr">
        <is>
          <t>本文</t>
        </is>
      </c>
    </row>
    <row r="2" ht="300" customHeight="1">
      <c r="A2" s="28" t="inlineStr">
        <is>
          <t>資料送付メール（PF掲載フリープラン）</t>
        </is>
      </c>
      <c r="B2" s="29" t="inlineStr">
        <is>
          <t>ぺいほーむ 平屋専門プラットフォーム フリープランのご案内</t>
        </is>
      </c>
      <c r="C2" s="29" t="inlineStr">
        <is>
          <t>○○工務店 ○○様
お世話になっております。
平屋専門YouTubeメディア「ぺいほーむ」の○○です。
先ほどはお電話でお時間をいただき、ありがとうございました。
お電話でご案内いたしました、ぺいほーむプラットフォームの
フリープラン（3ヶ月間完全無料）の詳細資料をお送りいたします。
■ フリープランの概要
・期間：2026年5月1日〜7月31日（3ヶ月間）
・費用：月額0円 / 成果報酬0円（完全無料）
・含まれるもの：
  - 工務店紹介ページ作成・公開
  - 見学会・イベント告知（月1件）
  - 資料請求・見学会予約のリード送客
  - AIチャットでの基本情報回答
  - 月次閲覧レポート
■ 申込期限：4月20日（先着20社限定）
添付の資料をご確認いただき、
ご不明点がございましたらお気軽にご連絡ください。
ご検討のほど、よろしくお願いいたします。
━━━━━━━━━━━━━━━
株式会社wazeka ぺいほーむ事業部
○○ ○○
TEL: XXX-XXXX-XXXX
Email: info@payhome.jp
━━━━━━━━━━━━━━━</t>
        </is>
      </c>
    </row>
    <row r="3" ht="300" customHeight="1">
      <c r="A3" s="28" t="inlineStr">
        <is>
          <t>資料送付メール（マーケティング支援）</t>
        </is>
      </c>
      <c r="B3" s="29" t="inlineStr">
        <is>
          <t>ぺいほーむ マーケティング支援サービスのご案内</t>
        </is>
      </c>
      <c r="C3" s="29" t="inlineStr">
        <is>
          <t>○○工務店 ○○様
お世話になっております。
平屋専門YouTubeチャンネル「ぺいほーむ」の○○です。
先ほどはお電話でお時間をいただき、ありがとうございました。
登録者4万2千人・動画257本の実績を持つ
平屋専門の動画・SNSチームによるマーケティング支援の
詳細資料をお送りいたします。
■ グロースプラン（月額15万円）の場合
・ルームツアー動画 月1本（ぺいほーむchで公開＋御社に納品）
・ショート動画 月8本
・Instagram毎日投稿 / TikTok週3投稿
・LINE公式 月2配信
・月次レポート
一般の動画制作会社に同内容を依頼すると月50〜70万円が相場です。
ぺいほーむなら月15万円で、67〜79%のコスト削減が可能です。
オンラインで30分ほど、御社の施工事例を拝見しながら
具体的なご提案をさせていただければと思います。
下記よりご都合のよい日時をお知らせいただけますか？
ご検討のほど、よろしくお願いいたします。
━━━━━━━━━━━━━━━
株式会社wazeka ぺいほーむ事業部
○○ ○○
TEL: XXX-XXXX-XXXX
Email: info@payhome.jp
━━━━━━━━━━━━━━━</t>
        </is>
      </c>
    </row>
    <row r="4" ht="300" customHeight="1">
      <c r="A4" s="28" t="inlineStr">
        <is>
          <t>フォローメール（1週間後）</t>
        </is>
      </c>
      <c r="B4" s="29" t="inlineStr">
        <is>
          <t>【ぺいほーむ】先日お送りした資料のご確認</t>
        </is>
      </c>
      <c r="C4" s="29" t="inlineStr">
        <is>
          <t>○○工務店 ○○様
お世話になっております。
ぺいほーむの○○です。
先日お送りした資料はご確認いただけましたでしょうか？
フリープランは先着20社限定で、
申込期限が4月20日となっております。
現在○社のお申込みをいただいている状況です。
ご不明点やご質問がございましたら、
お気軽にご連絡ください。
よろしくお願いいたします。
━━━━━━━━━━━━━━━
株式会社wazeka ぺいほーむ事業部
━━━━━━━━━━━━━━━</t>
        </is>
      </c>
    </row>
    <row r="5" ht="300" customHeight="1">
      <c r="A5" s="28" t="inlineStr">
        <is>
          <t>商談お礼メール</t>
        </is>
      </c>
      <c r="B5" s="29" t="inlineStr">
        <is>
          <t>【ぺいほーむ】本日の商談のお礼</t>
        </is>
      </c>
      <c r="C5" s="29" t="inlineStr">
        <is>
          <t>○○工務店 ○○様
お世話になっております。
ぺいほーむの○○です。
本日はお忙しい中、お時間をいただきありがとうございました。
本日お話しした内容をまとめます。
■ ご提案内容
・プラン名：○○プラン
・月額：○○円
・開始時期：○月○日〜
■ 次のステップ
・○○様にご確認いただく事項：○○
・弊社で準備する事項：○○
・次回のご連絡予定：○月○日
ご不明点がございましたら、いつでもご連絡ください。
引き続きよろしくお願いいたします。
━━━━━━━━━━━━━━━
株式会社wazeka ぺいほーむ事業部
━━━━━━━━━━━━━━━</t>
        </is>
      </c>
    </row>
    <row r="6" ht="300" customHeight="1">
      <c r="A6" s="28" t="inlineStr">
        <is>
          <t>フリープラン申込確認メール</t>
        </is>
      </c>
      <c r="B6" s="29" t="inlineStr">
        <is>
          <t>【ぺいほーむ】フリープランお申込みの確認</t>
        </is>
      </c>
      <c r="C6" s="29" t="inlineStr">
        <is>
          <t>○○工務店 ○○様
お世話になっております。
ぺいほーむの○○です。
この度はフリープランにお申込みいただき、
誠にありがとうございます。
■ お申込み内容
・プラン：フリープラン（3ヶ月間完全無料）
・掲載開始日：2026年5月1日
・無料期間：2026年5月1日〜7月31日
■ 今後のスケジュール
1. 掲載に必要な情報のご提出（4月末まで）
   - 会社基本情報（確認済み）
   - 施工事例の写真 3〜5枚
   - 御社の特徴・強み
2. 掲載ページの作成（弊社で対応）
   - 公開前に内容をご確認いただきます
3. 5月1日 プラットフォームリリース
   - 掲載開始＋リード送客開始
施工事例の写真は、メール添付またはファイル共有サービスで
お送りいただければ幸いです。
ご不明点がございましたら、お気軽にご連絡ください。
今後ともよろしくお願いいたします。
━━━━━━━━━━━━━━━
株式会社wazeka ぺいほーむ事業部
━━━━━━━━━━━━━━━</t>
        </is>
      </c>
    </row>
    <row r="7" ht="300" customHeight="1">
      <c r="A7" s="28" t="inlineStr">
        <is>
          <t>月次レポート送付メール</t>
        </is>
      </c>
      <c r="B7" s="29" t="inlineStr">
        <is>
          <t>【ぺいほーむ】○月の掲載実績レポート</t>
        </is>
      </c>
      <c r="C7" s="29" t="inlineStr">
        <is>
          <t>○○工務店 ○○様
お世話になっております。
ぺいほーむの○○です。
○月の掲載実績レポートをお送りいたします。
━━━━━━━━━━━━━━━
■ ○月の実績
━━━━━━━━━━━━━━━
・ページ閲覧数：○○回（前月比 +○%）
・ユニークユーザー数：○○人
・資料請求：○件
・見学会予約：○件
・AIチャットでの質問：○件
詳細は添付のレポートをご確認ください。
来月もより多くの平屋検討者に
御社の魅力をお届けできるよう努めてまいります。
ご質問やご要望がございましたら、
お気軽にご連絡ください。
━━━━━━━━━━━━━━━
株式会社wazeka ぺいほーむ事業部
━━━━━━━━━━━━━━━</t>
        </is>
      </c>
    </row>
    <row r="8" ht="300" customHeight="1">
      <c r="A8" s="28" t="inlineStr">
        <is>
          <t>有料化事前通知メール（2ヶ月目に送付）</t>
        </is>
      </c>
      <c r="B8" s="29" t="inlineStr">
        <is>
          <t>【ぺいほーむ】フリープラン期間終了のご案内</t>
        </is>
      </c>
      <c r="C8" s="29" t="inlineStr">
        <is>
          <t>○○工務店 ○○様
いつもぺいほーむをご利用いただきありがとうございます。
フリープランの期間が7月31日に終了いたします。
この2ヶ月間の御社の実績をお伝えします。
━━━━━━━━━━━━━━━
■ 御社ページの実績（5月〜6月）
━━━━━━━━━━━━━━━
・ページ閲覧数：○○回
・資料請求：○件
・見学会予約：○件
・AIチャットでの御社への質問：○件
━━━━━━━━━━━━━━━
8月1日以降は有料プランへの移行となります。
御社の反響実績から、以下のプランをおすすめいたします。
【おすすめ：○○プラン】
・月額：○○円
・資料請求：○○円/件
・見学会来場：○○円/件
プランの詳細は添付資料をご確認ください。
ご不明点がございましたら、お気軽にご連絡ください。
━━━━━━━━━━━━━━━
株式会社wazeka ぺいほーむ事業部
━━━━━━━━━━━━━━━</t>
        </is>
      </c>
    </row>
    <row r="9" ht="300" customHeight="1">
      <c r="A9" s="28" t="inlineStr">
        <is>
          <t>3ヶ月総合レポート＋有料プラン提案メール</t>
        </is>
      </c>
      <c r="B9" s="29" t="inlineStr">
        <is>
          <t>【ぺいほーむ】3ヶ月間の総合レポート＋今後のプランのご案内</t>
        </is>
      </c>
      <c r="C9" s="29" t="inlineStr">
        <is>
          <t>○○工務店 ○○様
いつもぺいほーむをご利用いただきありがとうございます。
5月のリリースから3ヶ月間のフリープラン期間が
7月31日をもって終了いたします。
この3ヶ月間の御社の総合レポートをお送りいたします。
━━━━━━━━━━━━━━━
■ 3ヶ月間の総合実績
━━━━━━━━━━━━━━━
・ページ閲覧数（合計）：○○回
・ユニークユーザー数：○○人
・資料請求：○件
・見学会予約：○件
・AIチャットでの質問：○件
■ ユーザー属性
・年齢層：35〜44歳が○%
・エリア：○○市○%、○○市○%
━━━━━━━━━━━━━━━
8月以降のプランとして、
御社の実績データから最もコストパフォーマンスの高い
プランをご提案いたします。
【ご提案プラン：○○プラン】
・月額：○○円
・資料請求：○○円/件
・見学会来場：○○円/件
・推定月額コスト：○○円（直近3ヶ月のリード数から算出）
詳細は添付の総合レポートをご確認ください。
一度お会いして、データを見ながら
御社に最適なプランをご一緒に検討させてください。
下記の日程でお時間をいただけますか？
・○月○日（○）○時〜
・○月○日（○）○時〜
・○月○日（○）○時〜
ご検討のほど、よろしくお願いいたします。
━━━━━━━━━━━━━━━
株式会社wazeka ぺいほーむ事業部
━━━━━━━━━━━━━━━</t>
        </is>
      </c>
    </row>
  </sheetData>
  <pageMargins left="0.75" right="0.75" top="1" bottom="1" header="0.5" footer="0.5"/>
</worksheet>
</file>

<file path=xl/worksheets/sheet11.xml><?xml version="1.0" encoding="utf-8"?>
<worksheet xmlns="http://schemas.openxmlformats.org/spreadsheetml/2006/main">
  <sheetPr>
    <tabColor rgb="001ABC9C"/>
    <outlinePr summaryBelow="1" summaryRight="1"/>
    <pageSetUpPr/>
  </sheetPr>
  <dimension ref="A1:D29"/>
  <sheetViews>
    <sheetView workbookViewId="0">
      <selection activeCell="A1" sqref="A1"/>
    </sheetView>
  </sheetViews>
  <sheetFormatPr baseColWidth="8" defaultRowHeight="15"/>
  <cols>
    <col width="20" customWidth="1" min="1" max="1"/>
    <col width="25" customWidth="1" min="2" max="2"/>
    <col width="20" customWidth="1" min="3" max="3"/>
    <col width="20" customWidth="1" min="4" max="4"/>
  </cols>
  <sheetData>
    <row r="1">
      <c r="A1" s="1" t="inlineStr">
        <is>
          <t>月次レポートテンプレート（工務店送付用）</t>
        </is>
      </c>
    </row>
    <row r="3">
      <c r="A3" s="30" t="inlineStr">
        <is>
          <t>基本情報</t>
        </is>
      </c>
      <c r="B3" s="40" t="n"/>
      <c r="C3" s="40" t="n"/>
      <c r="D3" s="39" t="n"/>
    </row>
    <row r="4">
      <c r="A4" s="19" t="inlineStr">
        <is>
          <t>対象企業</t>
        </is>
      </c>
      <c r="B4" s="31" t="inlineStr">
        <is>
          <t>○○工務店</t>
        </is>
      </c>
      <c r="C4" s="40" t="n"/>
      <c r="D4" s="39" t="n"/>
    </row>
    <row r="5">
      <c r="A5" s="19" t="inlineStr">
        <is>
          <t>対象期間</t>
        </is>
      </c>
      <c r="B5" s="31" t="inlineStr">
        <is>
          <t>2026年○月</t>
        </is>
      </c>
      <c r="C5" s="40" t="n"/>
      <c r="D5" s="39" t="n"/>
    </row>
    <row r="6">
      <c r="A6" s="19" t="inlineStr">
        <is>
          <t>作成日</t>
        </is>
      </c>
      <c r="B6" s="31" t="inlineStr">
        <is>
          <t>2026年○月○日</t>
        </is>
      </c>
      <c r="C6" s="40" t="n"/>
      <c r="D6" s="39" t="n"/>
    </row>
    <row r="8">
      <c r="A8" s="30" t="inlineStr">
        <is>
          <t>掲載実績</t>
        </is>
      </c>
      <c r="B8" s="40" t="n"/>
      <c r="C8" s="40" t="n"/>
      <c r="D8" s="39" t="n"/>
    </row>
    <row r="9">
      <c r="A9" s="19" t="inlineStr">
        <is>
          <t>ページ閲覧数</t>
        </is>
      </c>
      <c r="B9" s="31" t="inlineStr">
        <is>
          <t>○○回</t>
        </is>
      </c>
      <c r="C9" s="40" t="n"/>
      <c r="D9" s="39" t="n"/>
    </row>
    <row r="10">
      <c r="A10" s="19" t="inlineStr">
        <is>
          <t>ユニークユーザー数</t>
        </is>
      </c>
      <c r="B10" s="31" t="inlineStr">
        <is>
          <t>○○人</t>
        </is>
      </c>
      <c r="C10" s="40" t="n"/>
      <c r="D10" s="39" t="n"/>
    </row>
    <row r="11">
      <c r="A11" s="19" t="inlineStr">
        <is>
          <t>平均滞在時間</t>
        </is>
      </c>
      <c r="B11" s="31" t="inlineStr">
        <is>
          <t>○分○秒</t>
        </is>
      </c>
      <c r="C11" s="40" t="n"/>
      <c r="D11" s="39" t="n"/>
    </row>
    <row r="12">
      <c r="A12" s="19" t="inlineStr">
        <is>
          <t>前月比</t>
        </is>
      </c>
      <c r="B12" s="31" t="inlineStr">
        <is>
          <t>+○%</t>
        </is>
      </c>
      <c r="C12" s="40" t="n"/>
      <c r="D12" s="39" t="n"/>
    </row>
    <row r="14">
      <c r="A14" s="30" t="inlineStr">
        <is>
          <t>リード実績</t>
        </is>
      </c>
      <c r="B14" s="40" t="n"/>
      <c r="C14" s="40" t="n"/>
      <c r="D14" s="39" t="n"/>
    </row>
    <row r="15">
      <c r="A15" s="19" t="inlineStr">
        <is>
          <t>資料請求</t>
        </is>
      </c>
      <c r="B15" s="31" t="inlineStr">
        <is>
          <t>○件</t>
        </is>
      </c>
      <c r="C15" s="40" t="n"/>
      <c r="D15" s="39" t="n"/>
    </row>
    <row r="16">
      <c r="A16" s="19" t="inlineStr">
        <is>
          <t>見学会予約</t>
        </is>
      </c>
      <c r="B16" s="31" t="inlineStr">
        <is>
          <t>○件</t>
        </is>
      </c>
      <c r="C16" s="40" t="n"/>
      <c r="D16" s="39" t="n"/>
    </row>
    <row r="17">
      <c r="A17" s="19" t="inlineStr">
        <is>
          <t>AIチャット質問</t>
        </is>
      </c>
      <c r="B17" s="31" t="inlineStr">
        <is>
          <t>○件</t>
        </is>
      </c>
      <c r="C17" s="40" t="n"/>
      <c r="D17" s="39" t="n"/>
    </row>
    <row r="18">
      <c r="A18" s="19" t="inlineStr">
        <is>
          <t>合計リード数</t>
        </is>
      </c>
      <c r="B18" s="31" t="inlineStr">
        <is>
          <t>○件</t>
        </is>
      </c>
      <c r="C18" s="40" t="n"/>
      <c r="D18" s="39" t="n"/>
    </row>
    <row r="20">
      <c r="A20" s="30" t="inlineStr">
        <is>
          <t>ユーザー属性</t>
        </is>
      </c>
      <c r="B20" s="40" t="n"/>
      <c r="C20" s="40" t="n"/>
      <c r="D20" s="39" t="n"/>
    </row>
    <row r="21">
      <c r="A21" s="19" t="inlineStr">
        <is>
          <t>年齢層</t>
        </is>
      </c>
      <c r="B21" s="31" t="inlineStr">
        <is>
          <t>35〜44歳が○%</t>
        </is>
      </c>
      <c r="C21" s="40" t="n"/>
      <c r="D21" s="39" t="n"/>
    </row>
    <row r="22">
      <c r="A22" s="19" t="inlineStr">
        <is>
          <t>エリア</t>
        </is>
      </c>
      <c r="B22" s="31" t="inlineStr">
        <is>
          <t>○○市○%</t>
        </is>
      </c>
      <c r="C22" s="40" t="n"/>
      <c r="D22" s="39" t="n"/>
    </row>
    <row r="23">
      <c r="A23" s="19" t="inlineStr">
        <is>
          <t>デバイス</t>
        </is>
      </c>
      <c r="B23" s="31" t="inlineStr">
        <is>
          <t>スマホ○% / PC○%</t>
        </is>
      </c>
      <c r="C23" s="40" t="n"/>
      <c r="D23" s="39" t="n"/>
    </row>
    <row r="24">
      <c r="A24" s="19" t="inlineStr">
        <is>
          <t>流入元</t>
        </is>
      </c>
      <c r="B24" s="31" t="inlineStr">
        <is>
          <t>YouTube○% / 検索○% / SNS○%</t>
        </is>
      </c>
      <c r="C24" s="40" t="n"/>
      <c r="D24" s="39" t="n"/>
    </row>
    <row r="26">
      <c r="A26" s="30" t="inlineStr">
        <is>
          <t>改善提案（掲載プロのみ）</t>
        </is>
      </c>
      <c r="B26" s="40" t="n"/>
      <c r="C26" s="40" t="n"/>
      <c r="D26" s="39" t="n"/>
    </row>
    <row r="27">
      <c r="A27" s="19" t="inlineStr">
        <is>
          <t>現状の課題</t>
        </is>
      </c>
      <c r="B27" s="31" t="inlineStr">
        <is>
          <t>○○</t>
        </is>
      </c>
      <c r="C27" s="40" t="n"/>
      <c r="D27" s="39" t="n"/>
    </row>
    <row r="28">
      <c r="A28" s="19" t="inlineStr">
        <is>
          <t>改善案</t>
        </is>
      </c>
      <c r="B28" s="31" t="inlineStr">
        <is>
          <t>○○</t>
        </is>
      </c>
      <c r="C28" s="40" t="n"/>
      <c r="D28" s="39" t="n"/>
    </row>
    <row r="29">
      <c r="A29" s="19" t="inlineStr">
        <is>
          <t>次月の施策</t>
        </is>
      </c>
      <c r="B29" s="31" t="inlineStr">
        <is>
          <t>○○</t>
        </is>
      </c>
      <c r="C29" s="40" t="n"/>
      <c r="D29" s="39" t="n"/>
    </row>
  </sheetData>
  <mergeCells count="24">
    <mergeCell ref="B11:D11"/>
    <mergeCell ref="A8:D8"/>
    <mergeCell ref="B23:D23"/>
    <mergeCell ref="A20:D20"/>
    <mergeCell ref="B17:D17"/>
    <mergeCell ref="B29:D29"/>
    <mergeCell ref="B10:D10"/>
    <mergeCell ref="B28:D28"/>
    <mergeCell ref="B9:D9"/>
    <mergeCell ref="B15:D15"/>
    <mergeCell ref="B6:D6"/>
    <mergeCell ref="B24:D24"/>
    <mergeCell ref="A1:D1"/>
    <mergeCell ref="B5:D5"/>
    <mergeCell ref="B4:D4"/>
    <mergeCell ref="B16:D16"/>
    <mergeCell ref="B22:D22"/>
    <mergeCell ref="A3:D3"/>
    <mergeCell ref="A26:D26"/>
    <mergeCell ref="B18:D18"/>
    <mergeCell ref="B27:D27"/>
    <mergeCell ref="B21:D21"/>
    <mergeCell ref="B12:D12"/>
    <mergeCell ref="A14:D14"/>
  </mergeCells>
  <pageMargins left="0.75" right="0.75" top="1" bottom="1" header="0.5" footer="0.5"/>
</worksheet>
</file>

<file path=xl/worksheets/sheet12.xml><?xml version="1.0" encoding="utf-8"?>
<worksheet xmlns="http://schemas.openxmlformats.org/spreadsheetml/2006/main">
  <sheetPr>
    <tabColor rgb="0034495E"/>
    <outlinePr summaryBelow="1" summaryRight="1"/>
    <pageSetUpPr/>
  </sheetPr>
  <dimension ref="A1:AL18"/>
  <sheetViews>
    <sheetView workbookViewId="0">
      <selection activeCell="A1" sqref="A1"/>
    </sheetView>
  </sheetViews>
  <sheetFormatPr baseColWidth="8" defaultRowHeight="15"/>
  <cols>
    <col width="14" customWidth="1" min="1" max="1"/>
    <col width="28"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s>
  <sheetData>
    <row r="1">
      <c r="A1" s="1" t="inlineStr">
        <is>
          <t>営業ガントチャート</t>
        </is>
      </c>
    </row>
    <row r="2">
      <c r="A2" s="14" t="inlineStr">
        <is>
          <t>カテゴリ</t>
        </is>
      </c>
      <c r="B2" s="14" t="inlineStr">
        <is>
          <t>タスク</t>
        </is>
      </c>
      <c r="C2" s="32" t="inlineStr">
        <is>
          <t>W1
03/23</t>
        </is>
      </c>
      <c r="D2" s="32" t="inlineStr">
        <is>
          <t>W2
03/30</t>
        </is>
      </c>
      <c r="E2" s="32" t="inlineStr">
        <is>
          <t>W3
04/06</t>
        </is>
      </c>
      <c r="F2" s="32" t="inlineStr">
        <is>
          <t>W4
04/13</t>
        </is>
      </c>
      <c r="G2" s="32" t="inlineStr">
        <is>
          <t>W5
04/20</t>
        </is>
      </c>
      <c r="H2" s="32" t="inlineStr">
        <is>
          <t>W6
04/27</t>
        </is>
      </c>
      <c r="I2" s="32" t="inlineStr">
        <is>
          <t>W7
05/04</t>
        </is>
      </c>
      <c r="J2" s="32" t="inlineStr">
        <is>
          <t>W8
05/11</t>
        </is>
      </c>
      <c r="K2" s="32" t="inlineStr">
        <is>
          <t>W9
05/18</t>
        </is>
      </c>
      <c r="L2" s="32" t="inlineStr">
        <is>
          <t>W10
05/25</t>
        </is>
      </c>
      <c r="M2" s="32" t="inlineStr">
        <is>
          <t>W11
06/01</t>
        </is>
      </c>
      <c r="N2" s="32" t="inlineStr">
        <is>
          <t>W12
06/08</t>
        </is>
      </c>
      <c r="O2" s="32" t="inlineStr">
        <is>
          <t>W13
06/15</t>
        </is>
      </c>
      <c r="P2" s="32" t="inlineStr">
        <is>
          <t>W14
06/22</t>
        </is>
      </c>
      <c r="Q2" s="32" t="inlineStr">
        <is>
          <t>W15
06/29</t>
        </is>
      </c>
      <c r="R2" s="32" t="inlineStr">
        <is>
          <t>W16
07/06</t>
        </is>
      </c>
      <c r="S2" s="32" t="inlineStr">
        <is>
          <t>W17
07/13</t>
        </is>
      </c>
      <c r="T2" s="32" t="inlineStr">
        <is>
          <t>W18
07/20</t>
        </is>
      </c>
      <c r="U2" s="32" t="inlineStr">
        <is>
          <t>W19
07/27</t>
        </is>
      </c>
      <c r="V2" s="32" t="inlineStr">
        <is>
          <t>W20
08/03</t>
        </is>
      </c>
      <c r="W2" s="32" t="inlineStr">
        <is>
          <t>W21
08/10</t>
        </is>
      </c>
      <c r="X2" s="32" t="inlineStr">
        <is>
          <t>W22
08/17</t>
        </is>
      </c>
      <c r="Y2" s="32" t="inlineStr">
        <is>
          <t>W23
08/24</t>
        </is>
      </c>
      <c r="Z2" s="32" t="inlineStr">
        <is>
          <t>W24
08/31</t>
        </is>
      </c>
      <c r="AA2" s="32" t="inlineStr">
        <is>
          <t>W25
09/07</t>
        </is>
      </c>
      <c r="AB2" s="32" t="inlineStr">
        <is>
          <t>W26
09/14</t>
        </is>
      </c>
      <c r="AC2" s="32" t="inlineStr">
        <is>
          <t>W27
09/21</t>
        </is>
      </c>
      <c r="AD2" s="32" t="inlineStr">
        <is>
          <t>W28
09/28</t>
        </is>
      </c>
      <c r="AE2" s="32" t="inlineStr">
        <is>
          <t>W29
10/05</t>
        </is>
      </c>
      <c r="AF2" s="32" t="inlineStr">
        <is>
          <t>W30
10/12</t>
        </is>
      </c>
      <c r="AG2" s="32" t="inlineStr">
        <is>
          <t>W31
10/19</t>
        </is>
      </c>
      <c r="AH2" s="32" t="inlineStr">
        <is>
          <t>W32
10/26</t>
        </is>
      </c>
      <c r="AI2" s="32" t="inlineStr">
        <is>
          <t>W33
11/02</t>
        </is>
      </c>
      <c r="AJ2" s="32" t="inlineStr">
        <is>
          <t>W34
11/09</t>
        </is>
      </c>
      <c r="AK2" s="32" t="inlineStr">
        <is>
          <t>W35
11/16</t>
        </is>
      </c>
      <c r="AL2" s="32" t="inlineStr">
        <is>
          <t>W36
11/23</t>
        </is>
      </c>
    </row>
    <row r="3">
      <c r="A3" s="31" t="inlineStr">
        <is>
          <t>営業準備</t>
        </is>
      </c>
      <c r="B3" s="31" t="inlineStr">
        <is>
          <t>リスト作成・資料準備</t>
        </is>
      </c>
      <c r="C3" s="33" t="n"/>
    </row>
    <row r="4">
      <c r="A4" s="31" t="inlineStr">
        <is>
          <t>営業準備</t>
        </is>
      </c>
      <c r="B4" s="31" t="inlineStr">
        <is>
          <t>テレアポロープレ</t>
        </is>
      </c>
      <c r="C4" s="33" t="n"/>
    </row>
    <row r="5">
      <c r="A5" s="31" t="inlineStr">
        <is>
          <t>PF掲載</t>
        </is>
      </c>
      <c r="B5" s="31" t="inlineStr">
        <is>
          <t>テレアポ（鹿児島）</t>
        </is>
      </c>
      <c r="D5" s="34" t="n"/>
      <c r="E5" s="34" t="n"/>
      <c r="F5" s="34" t="n"/>
    </row>
    <row r="6">
      <c r="A6" s="31" t="inlineStr">
        <is>
          <t>マーケ支援</t>
        </is>
      </c>
      <c r="B6" s="31" t="inlineStr">
        <is>
          <t>テレアポ（全国）</t>
        </is>
      </c>
      <c r="D6" s="35" t="n"/>
      <c r="E6" s="35" t="n"/>
      <c r="F6" s="35" t="n"/>
    </row>
    <row r="7">
      <c r="A7" s="31" t="inlineStr">
        <is>
          <t>PF掲載</t>
        </is>
      </c>
      <c r="B7" s="31" t="inlineStr">
        <is>
          <t>商談・訪問</t>
        </is>
      </c>
      <c r="E7" s="34" t="n"/>
      <c r="F7" s="34" t="n"/>
    </row>
    <row r="8">
      <c r="A8" s="31" t="inlineStr">
        <is>
          <t>マーケ支援</t>
        </is>
      </c>
      <c r="B8" s="31" t="inlineStr">
        <is>
          <t>オンライン商談</t>
        </is>
      </c>
      <c r="E8" s="35" t="n"/>
      <c r="F8" s="35" t="n"/>
    </row>
    <row r="9">
      <c r="A9" s="31" t="inlineStr">
        <is>
          <t>PF掲載</t>
        </is>
      </c>
      <c r="B9" s="31" t="inlineStr">
        <is>
          <t>クロージング（〜4/20）</t>
        </is>
      </c>
      <c r="F9" s="36" t="n"/>
    </row>
    <row r="10">
      <c r="A10" s="31" t="inlineStr">
        <is>
          <t>掲載準備</t>
        </is>
      </c>
      <c r="B10" s="31" t="inlineStr">
        <is>
          <t>掲載ページ作成</t>
        </is>
      </c>
      <c r="G10" s="37" t="n"/>
      <c r="H10" s="37" t="n"/>
    </row>
    <row r="11">
      <c r="A11" s="31" t="inlineStr">
        <is>
          <t>運用</t>
        </is>
      </c>
      <c r="B11" s="31" t="inlineStr">
        <is>
          <t>初回撮影（マーケ支援）</t>
        </is>
      </c>
      <c r="G11" s="37" t="n"/>
      <c r="H11" s="37" t="n"/>
    </row>
    <row r="12">
      <c r="A12" s="31" t="inlineStr"/>
      <c r="B12" s="19" t="inlineStr">
        <is>
          <t>★ 5/1 リリース</t>
        </is>
      </c>
      <c r="H12" s="38" t="n"/>
    </row>
    <row r="13">
      <c r="A13" s="31" t="inlineStr">
        <is>
          <t>運用</t>
        </is>
      </c>
      <c r="B13" s="31" t="inlineStr">
        <is>
          <t>フリープラン運用</t>
        </is>
      </c>
      <c r="H13" s="34" t="n"/>
      <c r="I13" s="34" t="n"/>
      <c r="J13" s="34" t="n"/>
      <c r="K13" s="34" t="n"/>
      <c r="L13" s="34" t="n"/>
      <c r="M13" s="34" t="n"/>
      <c r="N13" s="34" t="n"/>
      <c r="O13" s="34" t="n"/>
      <c r="P13" s="34" t="n"/>
      <c r="Q13" s="34" t="n"/>
      <c r="R13" s="34" t="n"/>
      <c r="S13" s="34" t="n"/>
      <c r="T13" s="34" t="n"/>
    </row>
    <row r="14">
      <c r="A14" s="31" t="inlineStr">
        <is>
          <t>レポート</t>
        </is>
      </c>
      <c r="B14" s="31" t="inlineStr">
        <is>
          <t>月次レポート送付</t>
        </is>
      </c>
      <c r="K14" s="33" t="n"/>
    </row>
    <row r="15">
      <c r="A15" s="31" t="inlineStr">
        <is>
          <t>レポート</t>
        </is>
      </c>
      <c r="B15" s="31" t="inlineStr">
        <is>
          <t>月次レポート送付</t>
        </is>
      </c>
      <c r="O15" s="33" t="n"/>
    </row>
    <row r="16">
      <c r="A16" s="31" t="inlineStr">
        <is>
          <t>PF掲載</t>
        </is>
      </c>
      <c r="B16" s="31" t="inlineStr">
        <is>
          <t>3ヶ月レポート＋有料化提案</t>
        </is>
      </c>
      <c r="S16" s="36" t="n"/>
      <c r="T16" s="36" t="n"/>
    </row>
    <row r="17">
      <c r="A17" s="31" t="inlineStr"/>
      <c r="B17" s="19" t="inlineStr">
        <is>
          <t>★ 8/1 有料移行</t>
        </is>
      </c>
      <c r="U17" s="38" t="n"/>
    </row>
    <row r="18">
      <c r="A18" s="31" t="inlineStr">
        <is>
          <t>運用</t>
        </is>
      </c>
      <c r="B18" s="31" t="inlineStr">
        <is>
          <t>有料運用＋クロスセル</t>
        </is>
      </c>
      <c r="U18" s="35" t="n"/>
      <c r="V18" s="35" t="n"/>
      <c r="W18" s="35" t="n"/>
      <c r="X18" s="35" t="n"/>
      <c r="Y18" s="35" t="n"/>
      <c r="Z18" s="35" t="n"/>
      <c r="AA18" s="35" t="n"/>
      <c r="AB18" s="35" t="n"/>
      <c r="AC18" s="35" t="n"/>
      <c r="AD18" s="35" t="n"/>
      <c r="AE18" s="35" t="n"/>
      <c r="AF18" s="35" t="n"/>
      <c r="AG18" s="35" t="n"/>
      <c r="AH18" s="35" t="n"/>
      <c r="AI18" s="35" t="n"/>
      <c r="AJ18" s="35" t="n"/>
      <c r="AK18" s="35" t="n"/>
      <c r="AL18" s="35" t="n"/>
    </row>
  </sheetData>
  <mergeCells count="1">
    <mergeCell ref="A1:AJ1"/>
  </mergeCells>
  <pageMargins left="0.75" right="0.75" top="1" bottom="1" header="0.5" footer="0.5"/>
</worksheet>
</file>

<file path=xl/worksheets/sheet13.xml><?xml version="1.0" encoding="utf-8"?>
<worksheet xmlns="http://schemas.openxmlformats.org/spreadsheetml/2006/main">
  <sheetPr>
    <tabColor rgb="0016A085"/>
    <outlinePr summaryBelow="1" summaryRight="1"/>
    <pageSetUpPr/>
  </sheetPr>
  <dimension ref="A1:F40"/>
  <sheetViews>
    <sheetView workbookViewId="0">
      <selection activeCell="A1" sqref="A1"/>
    </sheetView>
  </sheetViews>
  <sheetFormatPr baseColWidth="8" defaultRowHeight="15"/>
  <cols>
    <col width="18" customWidth="1" min="1" max="1"/>
    <col width="35" customWidth="1" min="2" max="2"/>
    <col width="18" customWidth="1" min="3" max="3"/>
    <col width="18" customWidth="1" min="4" max="4"/>
    <col width="18" customWidth="1" min="5" max="5"/>
    <col width="18" customWidth="1" min="6" max="6"/>
  </cols>
  <sheetData>
    <row r="1">
      <c r="A1" s="18" t="inlineStr">
        <is>
          <t>右田 のタスク一覧</t>
        </is>
      </c>
    </row>
    <row r="2">
      <c r="A2" s="14" t="inlineStr">
        <is>
          <t>ID</t>
        </is>
      </c>
      <c r="B2" s="14" t="inlineStr">
        <is>
          <t>タスク名</t>
        </is>
      </c>
      <c r="C2" s="14" t="inlineStr">
        <is>
          <t>期限</t>
        </is>
      </c>
      <c r="D2" s="14" t="inlineStr">
        <is>
          <t>ステータス</t>
        </is>
      </c>
      <c r="E2" s="14" t="inlineStr">
        <is>
          <t>優先度</t>
        </is>
      </c>
      <c r="F2" s="14" t="inlineStr">
        <is>
          <t>メモ</t>
        </is>
      </c>
    </row>
    <row r="3">
      <c r="A3" s="15" t="inlineStr">
        <is>
          <t>S-01</t>
        </is>
      </c>
      <c r="B3" s="15" t="inlineStr">
        <is>
          <t>テレアポリスト作成（鹿児島50社）</t>
        </is>
      </c>
      <c r="C3" s="15" t="inlineStr">
        <is>
          <t>2026/3/28</t>
        </is>
      </c>
      <c r="D3" s="15" t="inlineStr">
        <is>
          <t>未着手</t>
        </is>
      </c>
      <c r="E3" s="16" t="inlineStr">
        <is>
          <t>高</t>
        </is>
      </c>
      <c r="F3" s="15" t="n"/>
    </row>
    <row r="4">
      <c r="A4" s="15" t="inlineStr">
        <is>
          <t>S-03</t>
        </is>
      </c>
      <c r="B4" s="15" t="inlineStr">
        <is>
          <t>営業資料最終確認</t>
        </is>
      </c>
      <c r="C4" s="15" t="inlineStr">
        <is>
          <t>2026/3/28</t>
        </is>
      </c>
      <c r="D4" s="15" t="inlineStr">
        <is>
          <t>未着手</t>
        </is>
      </c>
      <c r="E4" s="16" t="inlineStr">
        <is>
          <t>高</t>
        </is>
      </c>
      <c r="F4" s="15" t="n"/>
    </row>
    <row r="5">
      <c r="A5" s="15" t="inlineStr">
        <is>
          <t>S-04</t>
        </is>
      </c>
      <c r="B5" s="15" t="inlineStr">
        <is>
          <t>テレアポロープレ実施</t>
        </is>
      </c>
      <c r="C5" s="15" t="inlineStr">
        <is>
          <t>2026/3/28</t>
        </is>
      </c>
      <c r="D5" s="15" t="inlineStr">
        <is>
          <t>未着手</t>
        </is>
      </c>
      <c r="E5" s="16" t="inlineStr">
        <is>
          <t>高</t>
        </is>
      </c>
      <c r="F5" s="15" t="n"/>
    </row>
    <row r="6">
      <c r="A6" s="15" t="inlineStr">
        <is>
          <t>S-05</t>
        </is>
      </c>
      <c r="B6" s="15" t="inlineStr">
        <is>
          <t>テレアポ実施（鹿児島）Week2</t>
        </is>
      </c>
      <c r="C6" s="15" t="inlineStr">
        <is>
          <t>2026/4/4</t>
        </is>
      </c>
      <c r="D6" s="15" t="inlineStr">
        <is>
          <t>未着手</t>
        </is>
      </c>
      <c r="E6" s="16" t="inlineStr">
        <is>
          <t>高</t>
        </is>
      </c>
      <c r="F6" s="15" t="n"/>
    </row>
    <row r="7">
      <c r="A7" s="15" t="inlineStr">
        <is>
          <t>S-07</t>
        </is>
      </c>
      <c r="B7" s="15" t="inlineStr">
        <is>
          <t>資料送付フォロー</t>
        </is>
      </c>
      <c r="C7" s="15" t="inlineStr">
        <is>
          <t>2026/4/11</t>
        </is>
      </c>
      <c r="D7" s="15" t="inlineStr">
        <is>
          <t>未着手</t>
        </is>
      </c>
      <c r="E7" s="16" t="inlineStr">
        <is>
          <t>高</t>
        </is>
      </c>
      <c r="F7" s="15" t="n"/>
    </row>
    <row r="8">
      <c r="A8" s="15" t="inlineStr">
        <is>
          <t>S-08</t>
        </is>
      </c>
      <c r="B8" s="15" t="inlineStr">
        <is>
          <t>テレアポ継続（鹿児島）Week3</t>
        </is>
      </c>
      <c r="C8" s="15" t="inlineStr">
        <is>
          <t>2026/4/11</t>
        </is>
      </c>
      <c r="D8" s="15" t="inlineStr">
        <is>
          <t>未着手</t>
        </is>
      </c>
      <c r="E8" s="16" t="inlineStr">
        <is>
          <t>高</t>
        </is>
      </c>
      <c r="F8" s="15" t="n"/>
    </row>
    <row r="9">
      <c r="A9" s="15" t="inlineStr">
        <is>
          <t>S-10</t>
        </is>
      </c>
      <c r="B9" s="15" t="inlineStr">
        <is>
          <t>訪問商談（PF掲載）</t>
        </is>
      </c>
      <c r="C9" s="15" t="inlineStr">
        <is>
          <t>2026/4/18</t>
        </is>
      </c>
      <c r="D9" s="15" t="inlineStr">
        <is>
          <t>未着手</t>
        </is>
      </c>
      <c r="E9" s="16" t="inlineStr">
        <is>
          <t>高</t>
        </is>
      </c>
      <c r="F9" s="15" t="n"/>
    </row>
    <row r="10">
      <c r="A10" s="15" t="inlineStr">
        <is>
          <t>S-11</t>
        </is>
      </c>
      <c r="B10" s="15" t="inlineStr">
        <is>
          <t>フリープラン申込クロージング</t>
        </is>
      </c>
      <c r="C10" s="15" t="inlineStr">
        <is>
          <t>2026/4/20</t>
        </is>
      </c>
      <c r="D10" s="15" t="inlineStr">
        <is>
          <t>未着手</t>
        </is>
      </c>
      <c r="E10" s="16" t="inlineStr">
        <is>
          <t>高</t>
        </is>
      </c>
      <c r="F10" s="15" t="n"/>
    </row>
    <row r="11">
      <c r="A11" s="15" t="inlineStr">
        <is>
          <t>S-15</t>
        </is>
      </c>
      <c r="B11" s="15" t="inlineStr">
        <is>
          <t>リリース最終準備</t>
        </is>
      </c>
      <c r="C11" s="15" t="inlineStr">
        <is>
          <t>2026/4/30</t>
        </is>
      </c>
      <c r="D11" s="15" t="inlineStr">
        <is>
          <t>未着手</t>
        </is>
      </c>
      <c r="E11" s="16" t="inlineStr">
        <is>
          <t>高</t>
        </is>
      </c>
      <c r="F11" s="15" t="n"/>
    </row>
    <row r="12">
      <c r="A12" s="15" t="inlineStr">
        <is>
          <t>S-16</t>
        </is>
      </c>
      <c r="B12" s="15" t="inlineStr">
        <is>
          <t>月次レポート作成（5月分）</t>
        </is>
      </c>
      <c r="C12" s="15" t="inlineStr">
        <is>
          <t>2026/6/5</t>
        </is>
      </c>
      <c r="D12" s="15" t="inlineStr">
        <is>
          <t>未着手</t>
        </is>
      </c>
      <c r="E12" s="15" t="inlineStr">
        <is>
          <t>中</t>
        </is>
      </c>
      <c r="F12" s="15" t="n"/>
    </row>
    <row r="13">
      <c r="A13" s="15" t="inlineStr">
        <is>
          <t>S-17</t>
        </is>
      </c>
      <c r="B13" s="15" t="inlineStr">
        <is>
          <t>月次レポート作成（6月分）</t>
        </is>
      </c>
      <c r="C13" s="15" t="inlineStr">
        <is>
          <t>2026/7/5</t>
        </is>
      </c>
      <c r="D13" s="15" t="inlineStr">
        <is>
          <t>未着手</t>
        </is>
      </c>
      <c r="E13" s="15" t="inlineStr">
        <is>
          <t>中</t>
        </is>
      </c>
      <c r="F13" s="15" t="n"/>
    </row>
    <row r="14">
      <c r="A14" s="15" t="inlineStr">
        <is>
          <t>S-18</t>
        </is>
      </c>
      <c r="B14" s="15" t="inlineStr">
        <is>
          <t>3ヶ月総合レポート作成</t>
        </is>
      </c>
      <c r="C14" s="15" t="inlineStr">
        <is>
          <t>2026/7/20</t>
        </is>
      </c>
      <c r="D14" s="15" t="inlineStr">
        <is>
          <t>未着手</t>
        </is>
      </c>
      <c r="E14" s="16" t="inlineStr">
        <is>
          <t>高</t>
        </is>
      </c>
      <c r="F14" s="15" t="n"/>
    </row>
    <row r="15">
      <c r="A15" s="15" t="inlineStr">
        <is>
          <t>S-19</t>
        </is>
      </c>
      <c r="B15" s="15" t="inlineStr">
        <is>
          <t>有料化提案準備</t>
        </is>
      </c>
      <c r="C15" s="15" t="inlineStr">
        <is>
          <t>2026/7/25</t>
        </is>
      </c>
      <c r="D15" s="15" t="inlineStr">
        <is>
          <t>未着手</t>
        </is>
      </c>
      <c r="E15" s="16" t="inlineStr">
        <is>
          <t>高</t>
        </is>
      </c>
      <c r="F15" s="15" t="n"/>
    </row>
    <row r="16">
      <c r="A16" s="15" t="inlineStr">
        <is>
          <t>S-20</t>
        </is>
      </c>
      <c r="B16" s="15" t="inlineStr">
        <is>
          <t>有料化提案訪問</t>
        </is>
      </c>
      <c r="C16" s="15" t="inlineStr">
        <is>
          <t>2026/7/31</t>
        </is>
      </c>
      <c r="D16" s="15" t="inlineStr">
        <is>
          <t>未着手</t>
        </is>
      </c>
      <c r="E16" s="16" t="inlineStr">
        <is>
          <t>高</t>
        </is>
      </c>
      <c r="F16" s="15" t="n"/>
    </row>
    <row r="19">
      <c r="A19" s="18" t="inlineStr">
        <is>
          <t>営業A のタスク一覧</t>
        </is>
      </c>
    </row>
    <row r="20">
      <c r="A20" s="14" t="inlineStr">
        <is>
          <t>ID</t>
        </is>
      </c>
      <c r="B20" s="14" t="inlineStr">
        <is>
          <t>タスク名</t>
        </is>
      </c>
      <c r="C20" s="14" t="inlineStr">
        <is>
          <t>期限</t>
        </is>
      </c>
      <c r="D20" s="14" t="inlineStr">
        <is>
          <t>ステータス</t>
        </is>
      </c>
      <c r="E20" s="14" t="inlineStr">
        <is>
          <t>優先度</t>
        </is>
      </c>
      <c r="F20" s="14" t="inlineStr">
        <is>
          <t>メモ</t>
        </is>
      </c>
    </row>
    <row r="21">
      <c r="A21" s="15" t="inlineStr">
        <is>
          <t>S-02</t>
        </is>
      </c>
      <c r="B21" s="15" t="inlineStr">
        <is>
          <t>テレアポリスト作成（全国30社）</t>
        </is>
      </c>
      <c r="C21" s="15" t="inlineStr">
        <is>
          <t>2026/3/28</t>
        </is>
      </c>
      <c r="D21" s="15" t="inlineStr">
        <is>
          <t>未着手</t>
        </is>
      </c>
      <c r="E21" s="16" t="inlineStr">
        <is>
          <t>高</t>
        </is>
      </c>
      <c r="F21" s="15" t="n"/>
    </row>
    <row r="22">
      <c r="A22" s="15" t="inlineStr">
        <is>
          <t>S-04</t>
        </is>
      </c>
      <c r="B22" s="15" t="inlineStr">
        <is>
          <t>テレアポロープレ実施</t>
        </is>
      </c>
      <c r="C22" s="15" t="inlineStr">
        <is>
          <t>2026/3/28</t>
        </is>
      </c>
      <c r="D22" s="15" t="inlineStr">
        <is>
          <t>未着手</t>
        </is>
      </c>
      <c r="E22" s="16" t="inlineStr">
        <is>
          <t>高</t>
        </is>
      </c>
      <c r="F22" s="15" t="n"/>
    </row>
    <row r="23">
      <c r="A23" s="15" t="inlineStr">
        <is>
          <t>S-06</t>
        </is>
      </c>
      <c r="B23" s="15" t="inlineStr">
        <is>
          <t>テレアポ実施（全国）Week2</t>
        </is>
      </c>
      <c r="C23" s="15" t="inlineStr">
        <is>
          <t>2026/4/4</t>
        </is>
      </c>
      <c r="D23" s="15" t="inlineStr">
        <is>
          <t>未着手</t>
        </is>
      </c>
      <c r="E23" s="16" t="inlineStr">
        <is>
          <t>高</t>
        </is>
      </c>
      <c r="F23" s="15" t="n"/>
    </row>
    <row r="24">
      <c r="A24" s="15" t="inlineStr">
        <is>
          <t>S-09</t>
        </is>
      </c>
      <c r="B24" s="15" t="inlineStr">
        <is>
          <t>オンライン商談（マーケ支援）</t>
        </is>
      </c>
      <c r="C24" s="15" t="inlineStr">
        <is>
          <t>2026/4/11</t>
        </is>
      </c>
      <c r="D24" s="15" t="inlineStr">
        <is>
          <t>未着手</t>
        </is>
      </c>
      <c r="E24" s="16" t="inlineStr">
        <is>
          <t>高</t>
        </is>
      </c>
      <c r="F24" s="15" t="n"/>
    </row>
    <row r="25">
      <c r="A25" s="15" t="inlineStr">
        <is>
          <t>S-12</t>
        </is>
      </c>
      <c r="B25" s="15" t="inlineStr">
        <is>
          <t>マーケ支援 契約クロージング</t>
        </is>
      </c>
      <c r="C25" s="15" t="inlineStr">
        <is>
          <t>2026/4/20</t>
        </is>
      </c>
      <c r="D25" s="15" t="inlineStr">
        <is>
          <t>未着手</t>
        </is>
      </c>
      <c r="E25" s="16" t="inlineStr">
        <is>
          <t>高</t>
        </is>
      </c>
      <c r="F25" s="15" t="n"/>
    </row>
    <row r="26">
      <c r="A26" s="15" t="inlineStr">
        <is>
          <t>S-15</t>
        </is>
      </c>
      <c r="B26" s="15" t="inlineStr">
        <is>
          <t>リリース最終準備</t>
        </is>
      </c>
      <c r="C26" s="15" t="inlineStr">
        <is>
          <t>2026/4/30</t>
        </is>
      </c>
      <c r="D26" s="15" t="inlineStr">
        <is>
          <t>未着手</t>
        </is>
      </c>
      <c r="E26" s="16" t="inlineStr">
        <is>
          <t>高</t>
        </is>
      </c>
      <c r="F26" s="15" t="n"/>
    </row>
    <row r="29">
      <c r="A29" s="18" t="inlineStr">
        <is>
          <t>営業B のタスク一覧</t>
        </is>
      </c>
    </row>
    <row r="30">
      <c r="A30" s="14" t="inlineStr">
        <is>
          <t>ID</t>
        </is>
      </c>
      <c r="B30" s="14" t="inlineStr">
        <is>
          <t>タスク名</t>
        </is>
      </c>
      <c r="C30" s="14" t="inlineStr">
        <is>
          <t>期限</t>
        </is>
      </c>
      <c r="D30" s="14" t="inlineStr">
        <is>
          <t>ステータス</t>
        </is>
      </c>
      <c r="E30" s="14" t="inlineStr">
        <is>
          <t>優先度</t>
        </is>
      </c>
      <c r="F30" s="14" t="inlineStr">
        <is>
          <t>メモ</t>
        </is>
      </c>
    </row>
    <row r="31">
      <c r="A31" s="15" t="inlineStr">
        <is>
          <t>S-04</t>
        </is>
      </c>
      <c r="B31" s="15" t="inlineStr">
        <is>
          <t>テレアポロープレ実施</t>
        </is>
      </c>
      <c r="C31" s="15" t="inlineStr">
        <is>
          <t>2026/3/28</t>
        </is>
      </c>
      <c r="D31" s="15" t="inlineStr">
        <is>
          <t>未着手</t>
        </is>
      </c>
      <c r="E31" s="16" t="inlineStr">
        <is>
          <t>高</t>
        </is>
      </c>
      <c r="F31" s="15" t="n"/>
    </row>
    <row r="32">
      <c r="A32" s="15" t="inlineStr">
        <is>
          <t>S-15</t>
        </is>
      </c>
      <c r="B32" s="15" t="inlineStr">
        <is>
          <t>リリース最終準備</t>
        </is>
      </c>
      <c r="C32" s="15" t="inlineStr">
        <is>
          <t>2026/4/30</t>
        </is>
      </c>
      <c r="D32" s="15" t="inlineStr">
        <is>
          <t>未着手</t>
        </is>
      </c>
      <c r="E32" s="16" t="inlineStr">
        <is>
          <t>高</t>
        </is>
      </c>
      <c r="F32" s="15" t="n"/>
    </row>
    <row r="35">
      <c r="A35" s="18" t="inlineStr">
        <is>
          <t>制作 のタスク一覧</t>
        </is>
      </c>
    </row>
    <row r="36">
      <c r="A36" s="14" t="inlineStr">
        <is>
          <t>ID</t>
        </is>
      </c>
      <c r="B36" s="14" t="inlineStr">
        <is>
          <t>タスク名</t>
        </is>
      </c>
      <c r="C36" s="14" t="inlineStr">
        <is>
          <t>期限</t>
        </is>
      </c>
      <c r="D36" s="14" t="inlineStr">
        <is>
          <t>ステータス</t>
        </is>
      </c>
      <c r="E36" s="14" t="inlineStr">
        <is>
          <t>優先度</t>
        </is>
      </c>
      <c r="F36" s="14" t="inlineStr">
        <is>
          <t>メモ</t>
        </is>
      </c>
    </row>
    <row r="37">
      <c r="A37" s="15" t="inlineStr">
        <is>
          <t>S-04</t>
        </is>
      </c>
      <c r="B37" s="15" t="inlineStr">
        <is>
          <t>テレアポロープレ実施</t>
        </is>
      </c>
      <c r="C37" s="15" t="inlineStr">
        <is>
          <t>2026/3/28</t>
        </is>
      </c>
      <c r="D37" s="15" t="inlineStr">
        <is>
          <t>未着手</t>
        </is>
      </c>
      <c r="E37" s="16" t="inlineStr">
        <is>
          <t>高</t>
        </is>
      </c>
      <c r="F37" s="15" t="n"/>
    </row>
    <row r="38">
      <c r="A38" s="15" t="inlineStr">
        <is>
          <t>S-13</t>
        </is>
      </c>
      <c r="B38" s="15" t="inlineStr">
        <is>
          <t>掲載ページ作成</t>
        </is>
      </c>
      <c r="C38" s="15" t="inlineStr">
        <is>
          <t>2026/4/30</t>
        </is>
      </c>
      <c r="D38" s="15" t="inlineStr">
        <is>
          <t>未着手</t>
        </is>
      </c>
      <c r="E38" s="16" t="inlineStr">
        <is>
          <t>高</t>
        </is>
      </c>
      <c r="F38" s="15" t="n"/>
    </row>
    <row r="39">
      <c r="A39" s="15" t="inlineStr">
        <is>
          <t>S-14</t>
        </is>
      </c>
      <c r="B39" s="15" t="inlineStr">
        <is>
          <t>初回撮影（マーケ支援）</t>
        </is>
      </c>
      <c r="C39" s="15" t="inlineStr">
        <is>
          <t>2026/4/30</t>
        </is>
      </c>
      <c r="D39" s="15" t="inlineStr">
        <is>
          <t>未着手</t>
        </is>
      </c>
      <c r="E39" s="16" t="inlineStr">
        <is>
          <t>高</t>
        </is>
      </c>
      <c r="F39" s="15" t="n"/>
    </row>
    <row r="40">
      <c r="A40" s="15" t="inlineStr">
        <is>
          <t>S-15</t>
        </is>
      </c>
      <c r="B40" s="15" t="inlineStr">
        <is>
          <t>リリース最終準備</t>
        </is>
      </c>
      <c r="C40" s="15" t="inlineStr">
        <is>
          <t>2026/4/30</t>
        </is>
      </c>
      <c r="D40" s="15" t="inlineStr">
        <is>
          <t>未着手</t>
        </is>
      </c>
      <c r="E40" s="16" t="inlineStr">
        <is>
          <t>高</t>
        </is>
      </c>
      <c r="F40" s="15" t="n"/>
    </row>
  </sheetData>
  <mergeCells count="4">
    <mergeCell ref="A19:F19"/>
    <mergeCell ref="A1:F1"/>
    <mergeCell ref="A35:F35"/>
    <mergeCell ref="A29:F29"/>
  </mergeCells>
  <pageMargins left="0.75" right="0.75" top="1" bottom="1" header="0.5" footer="0.5"/>
</worksheet>
</file>

<file path=xl/worksheets/sheet14.xml><?xml version="1.0" encoding="utf-8"?>
<worksheet xmlns="http://schemas.openxmlformats.org/spreadsheetml/2006/main">
  <sheetPr>
    <tabColor rgb="0095A5A6"/>
    <outlinePr summaryBelow="1" summaryRight="1"/>
    <pageSetUpPr/>
  </sheetPr>
  <dimension ref="A1:C32"/>
  <sheetViews>
    <sheetView workbookViewId="0">
      <selection activeCell="A1" sqref="A1"/>
    </sheetView>
  </sheetViews>
  <sheetFormatPr baseColWidth="8" defaultRowHeight="15"/>
  <cols>
    <col width="22" customWidth="1" min="1" max="1"/>
    <col width="60" customWidth="1" min="2" max="2"/>
    <col width="25" customWidth="1" min="3" max="3"/>
  </cols>
  <sheetData>
    <row r="1">
      <c r="A1" s="1" t="inlineStr">
        <is>
          <t>payhome_sales_v2 使い方ガイド</t>
        </is>
      </c>
    </row>
    <row r="3">
      <c r="A3" s="14" t="inlineStr">
        <is>
          <t>シート名</t>
        </is>
      </c>
      <c r="B3" s="14" t="inlineStr">
        <is>
          <t>用途・使い方</t>
        </is>
      </c>
    </row>
    <row r="4" ht="40" customHeight="1">
      <c r="A4" s="15" t="inlineStr">
        <is>
          <t>ダッシュボード</t>
        </is>
      </c>
      <c r="B4" s="15" t="inlineStr">
        <is>
          <t>営業活動の全体像を一目で確認するシート。KPI、フェーズ、直近アクションを表示。数値は他シートから自動集計。</t>
        </is>
      </c>
    </row>
    <row r="5" ht="40" customHeight="1">
      <c r="A5" s="17" t="inlineStr">
        <is>
          <t>戦略概要</t>
        </is>
      </c>
      <c r="B5" s="17" t="inlineStr">
        <is>
          <t>事業の2本柱・フリープラン設計思想・競争優位性・収益シミュレーションの参照シート。社内共有や経営会議で使用。</t>
        </is>
      </c>
    </row>
    <row r="6" ht="40" customHeight="1">
      <c r="A6" s="15" t="inlineStr">
        <is>
          <t>料金プラン</t>
        </is>
      </c>
      <c r="B6" s="15" t="inlineStr">
        <is>
          <t>全プランの料金体系を一覧化。営業時の参照用。セット割引・単発メニューも記載。</t>
        </is>
      </c>
    </row>
    <row r="7" ht="40" customHeight="1">
      <c r="A7" s="17" t="inlineStr">
        <is>
          <t>テレアポ管理（鹿児島）</t>
        </is>
      </c>
      <c r="B7" s="17" t="inlineStr">
        <is>
          <t>鹿児島の工務店へのテレアポ進捗を管理。コール日・結果・資料送付・商談・申込をステータスで追跡。</t>
        </is>
      </c>
    </row>
    <row r="8" ht="40" customHeight="1">
      <c r="A8" s="15" t="inlineStr">
        <is>
          <t>テレアポ管理（全国）</t>
        </is>
      </c>
      <c r="B8" s="15" t="inlineStr">
        <is>
          <t>全国の工務店へのマーケティング支援の営業進捗を管理。</t>
        </is>
      </c>
    </row>
    <row r="9" ht="40" customHeight="1">
      <c r="A9" s="17" t="inlineStr">
        <is>
          <t>リードパイプライン</t>
        </is>
      </c>
      <c r="B9" s="17" t="inlineStr">
        <is>
          <t>全ての見込み客をステージ別に管理。確度A〜Dで優先順位を可視化。</t>
        </is>
      </c>
    </row>
    <row r="10" ht="40" customHeight="1">
      <c r="A10" s="15" t="inlineStr">
        <is>
          <t>タスク管理</t>
        </is>
      </c>
      <c r="B10" s="15" t="inlineStr">
        <is>
          <t>営業活動に関する全タスクを管理。担当者・優先度・期限・ステータスで進捗追跡。週次レビューで使用。</t>
        </is>
      </c>
    </row>
    <row r="11" ht="40" customHeight="1">
      <c r="A11" s="17" t="inlineStr">
        <is>
          <t>KPI管理</t>
        </is>
      </c>
      <c r="B11" s="17" t="inlineStr">
        <is>
          <t>月次・週次のKPIを記録。目標と実績を比較し、改善アクションを検討。</t>
        </is>
      </c>
    </row>
    <row r="12" ht="40" customHeight="1">
      <c r="A12" s="15" t="inlineStr">
        <is>
          <t>収益シミュレーション</t>
        </is>
      </c>
      <c r="B12" s="15" t="inlineStr">
        <is>
          <t>保守的・標準・楽観的の3シナリオで月次収益を予測。経営判断の参考に使用。</t>
        </is>
      </c>
    </row>
    <row r="13" ht="40" customHeight="1">
      <c r="A13" s="17" t="inlineStr">
        <is>
          <t>メールテンプレート</t>
        </is>
      </c>
      <c r="B13" s="17" t="inlineStr">
        <is>
          <t>営業メール8種のテンプレート。○○部分を書き換えて使用。</t>
        </is>
      </c>
    </row>
    <row r="14" ht="40" customHeight="1">
      <c r="A14" s="15" t="inlineStr">
        <is>
          <t>月次レポートテンプレート</t>
        </is>
      </c>
      <c r="B14" s="15" t="inlineStr">
        <is>
          <t>工務店に送付する月次レポートのフォーマット。</t>
        </is>
      </c>
    </row>
    <row r="15" ht="40" customHeight="1">
      <c r="A15" s="17" t="inlineStr">
        <is>
          <t>ガントチャート</t>
        </is>
      </c>
      <c r="B15" s="17" t="inlineStr">
        <is>
          <t>4月〜12月の営業タイムラインを週単位で可視化。マイルストーンを確認。</t>
        </is>
      </c>
    </row>
    <row r="16" ht="40" customHeight="1">
      <c r="A16" s="15" t="inlineStr">
        <is>
          <t>担当別Todo</t>
        </is>
      </c>
      <c r="B16" s="15" t="inlineStr">
        <is>
          <t>各メンバーのタスクを一覧表示。週次ミーティングで進捗確認に使用。</t>
        </is>
      </c>
    </row>
    <row r="19">
      <c r="A19" s="8" t="inlineStr">
        <is>
          <t>ステータスの定義</t>
        </is>
      </c>
    </row>
    <row r="20">
      <c r="A20" s="14" t="inlineStr">
        <is>
          <t>ステータス</t>
        </is>
      </c>
      <c r="B20" s="14" t="inlineStr">
        <is>
          <t>意味</t>
        </is>
      </c>
      <c r="C20" s="14" t="inlineStr">
        <is>
          <t>使用シート</t>
        </is>
      </c>
    </row>
    <row r="21">
      <c r="A21" s="15" t="inlineStr">
        <is>
          <t>未着手</t>
        </is>
      </c>
      <c r="B21" s="15" t="inlineStr">
        <is>
          <t>手をつけていない</t>
        </is>
      </c>
      <c r="C21" s="15" t="inlineStr">
        <is>
          <t>—</t>
        </is>
      </c>
    </row>
    <row r="22">
      <c r="A22" s="17" t="inlineStr">
        <is>
          <t>未コール</t>
        </is>
      </c>
      <c r="B22" s="17" t="inlineStr">
        <is>
          <t>まだ電話をしていない</t>
        </is>
      </c>
      <c r="C22" s="17" t="inlineStr">
        <is>
          <t>テレアポ管理シート</t>
        </is>
      </c>
    </row>
    <row r="23">
      <c r="A23" s="15" t="inlineStr">
        <is>
          <t>コール済み</t>
        </is>
      </c>
      <c r="B23" s="15" t="inlineStr">
        <is>
          <t>電話したが資料送付に至らず</t>
        </is>
      </c>
      <c r="C23" s="15" t="inlineStr">
        <is>
          <t>テレアポ管理シート</t>
        </is>
      </c>
    </row>
    <row r="24">
      <c r="A24" s="17" t="inlineStr">
        <is>
          <t>資料送付済み</t>
        </is>
      </c>
      <c r="B24" s="17" t="inlineStr">
        <is>
          <t>資料を送付した</t>
        </is>
      </c>
      <c r="C24" s="17" t="inlineStr">
        <is>
          <t>テレアポ管理シート</t>
        </is>
      </c>
    </row>
    <row r="25">
      <c r="A25" s="15" t="inlineStr">
        <is>
          <t>商談調整中</t>
        </is>
      </c>
      <c r="B25" s="15" t="inlineStr">
        <is>
          <t>商談日程を調整中</t>
        </is>
      </c>
      <c r="C25" s="15" t="inlineStr">
        <is>
          <t>テレアポ・パイプライン</t>
        </is>
      </c>
    </row>
    <row r="26">
      <c r="A26" s="17" t="inlineStr">
        <is>
          <t>商談済み</t>
        </is>
      </c>
      <c r="B26" s="17" t="inlineStr">
        <is>
          <t>商談を実施した</t>
        </is>
      </c>
      <c r="C26" s="17" t="inlineStr">
        <is>
          <t>テレアポ・パイプライン</t>
        </is>
      </c>
    </row>
    <row r="27">
      <c r="A27" s="15" t="inlineStr">
        <is>
          <t>申込済み/契約済み</t>
        </is>
      </c>
      <c r="B27" s="15" t="inlineStr">
        <is>
          <t>申込または契約が完了</t>
        </is>
      </c>
      <c r="C27" s="15" t="inlineStr">
        <is>
          <t>テレアポ・パイプライン</t>
        </is>
      </c>
    </row>
    <row r="28">
      <c r="A28" s="17" t="inlineStr">
        <is>
          <t>見送り</t>
        </is>
      </c>
      <c r="B28" s="17" t="inlineStr">
        <is>
          <t>今回は見送り</t>
        </is>
      </c>
      <c r="C28" s="17" t="inlineStr">
        <is>
          <t>テレアポ・パイプライン</t>
        </is>
      </c>
    </row>
    <row r="29">
      <c r="A29" s="15" t="inlineStr">
        <is>
          <t>進行中</t>
        </is>
      </c>
      <c r="B29" s="15" t="inlineStr">
        <is>
          <t>作業中</t>
        </is>
      </c>
      <c r="C29" s="15" t="inlineStr">
        <is>
          <t>タスク管理</t>
        </is>
      </c>
    </row>
    <row r="30">
      <c r="A30" s="17" t="inlineStr">
        <is>
          <t>確認中</t>
        </is>
      </c>
      <c r="B30" s="17" t="inlineStr">
        <is>
          <t>成果物のレビュー待ち</t>
        </is>
      </c>
      <c r="C30" s="17" t="inlineStr">
        <is>
          <t>タスク管理</t>
        </is>
      </c>
    </row>
    <row r="31">
      <c r="A31" s="15" t="inlineStr">
        <is>
          <t>完了</t>
        </is>
      </c>
      <c r="B31" s="15" t="inlineStr">
        <is>
          <t>完了</t>
        </is>
      </c>
      <c r="C31" s="15" t="inlineStr">
        <is>
          <t>タスク管理</t>
        </is>
      </c>
    </row>
    <row r="32">
      <c r="A32" s="17" t="inlineStr">
        <is>
          <t>保留</t>
        </is>
      </c>
      <c r="B32" s="17" t="inlineStr">
        <is>
          <t>他タスクの完了待ち</t>
        </is>
      </c>
      <c r="C32" s="17" t="inlineStr">
        <is>
          <t>タスク管理</t>
        </is>
      </c>
    </row>
  </sheetData>
  <mergeCells count="2">
    <mergeCell ref="A1:C1"/>
    <mergeCell ref="A19:C19"/>
  </mergeCells>
  <pageMargins left="0.75" right="0.75" top="1" bottom="1" header="0.5" footer="0.5"/>
</worksheet>
</file>

<file path=xl/worksheets/sheet15.xml><?xml version="1.0" encoding="utf-8"?>
<worksheet xmlns="http://schemas.openxmlformats.org/spreadsheetml/2006/main">
  <sheetPr>
    <tabColor rgb="001ABC9C"/>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35" customWidth="1" min="3" max="3"/>
    <col width="80" customWidth="1" min="4" max="4"/>
    <col width="15" customWidth="1" min="5" max="5"/>
    <col width="12" customWidth="1" min="6" max="6"/>
  </cols>
  <sheetData>
    <row r="1" ht="30" customHeight="1">
      <c r="A1" s="41" t="inlineStr">
        <is>
          <t>テンプレート名</t>
        </is>
      </c>
      <c r="B1" s="41" t="inlineStr">
        <is>
          <t>配信タイミング</t>
        </is>
      </c>
      <c r="C1" s="41" t="inlineStr">
        <is>
          <t>件名</t>
        </is>
      </c>
      <c r="D1" s="41" t="inlineStr">
        <is>
          <t>本文</t>
        </is>
      </c>
      <c r="E1" s="41" t="inlineStr">
        <is>
          <t>目的</t>
        </is>
      </c>
      <c r="F1" s="41" t="inlineStr">
        <is>
          <t>配信方法</t>
        </is>
      </c>
    </row>
    <row r="2" ht="400" customHeight="1">
      <c r="A2" s="42" t="inlineStr">
        <is>
          <t>お問い合わせ確認メール</t>
        </is>
      </c>
      <c r="B2" s="42" t="inlineStr">
        <is>
          <t>リード発生直後</t>
        </is>
      </c>
      <c r="C2" s="42" t="inlineStr">
        <is>
          <t>【ぺいほーむ】お問い合わせありがとうございます</t>
        </is>
      </c>
      <c r="D2" s="42" t="inlineStr">
        <is>
          <t>○○様
ぺいほーむへのお問い合わせ、ありがとうございます。
ご依頼いただきました○○について、
○○工務店様にお取り次ぎいたしました。
○○工務店様より、1〜2営業日以内に
ご連絡がございますので、少々お待ちください。
ぺいほーむでは、お客様の家づくりを
最後までサポートいたします。
ご質問やご不安なことがございましたら、
いつでもお気軽にご相談ください。
AIチャットでも24時間ご相談いただけます。
https://payhome.jp
━━━━━━━━━━━━━━━
ぺいほーむ（株式会社wazeka）
Email: support@payhome.jp
━━━━━━━━━━━━━━━
※このメールにお心当たりのない場合は、
お手数ですがこのメールを削除してください。
※配信停止をご希望の場合は、以下のURLからお手続きください。
https://payhome.jp/unsubscribe?id=XXXX</t>
        </is>
      </c>
      <c r="E2" s="42" t="inlineStr">
        <is>
          <t>関係の起点</t>
        </is>
      </c>
      <c r="F2" s="42" t="inlineStr">
        <is>
          <t>自動送信</t>
        </is>
      </c>
    </row>
    <row r="3" ht="400" customHeight="1">
      <c r="A3" s="43" t="inlineStr">
        <is>
          <t>対応確認メール</t>
        </is>
      </c>
      <c r="B3" s="43" t="inlineStr">
        <is>
          <t>3日後</t>
        </is>
      </c>
      <c r="C3" s="43" t="inlineStr">
        <is>
          <t>【ぺいほーむ】○○工務店様からご連絡はありましたか？</t>
        </is>
      </c>
      <c r="D3" s="43" t="inlineStr">
        <is>
          <t>○○様
ぺいほーむです。
先日のお問い合わせ、ありがとうございました。
○○工務店様からご連絡はございましたか？
もしまだ連絡がない場合は、
こちらから○○工務店様に確認いたしますので、
このメールにご返信ください。
また、他にも気になる工務店がございましたら、
ぺいほーむで検索・比較いただけます。
https://payhome.jp
引き続き、家づくりのお手伝いをさせてください。
━━━━━━━━━━━━━━━
ぺいほーむ（株式会社wazeka）
━━━━━━━━━━━━━━━
※配信停止をご希望の場合は、以下のURLからお手続きください。
https://payhome.jp/unsubscribe?id=XXXX</t>
        </is>
      </c>
      <c r="E3" s="43" t="inlineStr">
        <is>
          <t>工務店対応確認</t>
        </is>
      </c>
      <c r="F3" s="43" t="inlineStr">
        <is>
          <t>自動送信</t>
        </is>
      </c>
    </row>
    <row r="4" ht="400" customHeight="1">
      <c r="A4" s="42" t="inlineStr">
        <is>
          <t>進捗確認メール</t>
        </is>
      </c>
      <c r="B4" s="42" t="inlineStr">
        <is>
          <t>1週間後</t>
        </is>
      </c>
      <c r="C4" s="42" t="inlineStr">
        <is>
          <t>【ぺいほーむ】家づくりの進捗はいかがですか？</t>
        </is>
      </c>
      <c r="D4" s="42" t="inlineStr">
        <is>
          <t>○○様
ぺいほーむです。
家づくりのご検討は進んでいますか？
○○工務店様との打ち合わせのご予定は
決まりましたでしょうか？
家づくりを進める中で、
こんなお悩みはありませんか？
・複数の工務店を比較したい
・平屋の間取りの参考事例を見たい
・住宅ローンのシミュレーションをしたい
・平屋の価格相場を知りたい
ぺいほーむでは、これらの情報を
無料でご提供しています。
▼ 平屋のルームツアー動画を見る
https://youtube.com/@payhome
▼ 住宅ローンシミュレーター
https://payhome.jp/simulator
▼ AIチャットで相談する
https://payhome.jp
お気軽にご利用ください。
━━━━━━━━━━━━━━━
ぺいほーむ（株式会社wazeka）
━━━━━━━━━━━━━━━
※配信停止をご希望の場合は、以下のURLからお手続きください。
https://payhome.jp/unsubscribe?id=XXXX</t>
        </is>
      </c>
      <c r="E4" s="42" t="inlineStr">
        <is>
          <t>進捗確認</t>
        </is>
      </c>
      <c r="F4" s="42" t="inlineStr">
        <is>
          <t>自動送信</t>
        </is>
      </c>
    </row>
    <row r="5" ht="400" customHeight="1">
      <c r="A5" s="43" t="inlineStr">
        <is>
          <t>追加提案メール</t>
        </is>
      </c>
      <c r="B5" s="43" t="inlineStr">
        <is>
          <t>2週間後</t>
        </is>
      </c>
      <c r="C5" s="43" t="inlineStr">
        <is>
          <t>【ぺいほーむ】他にも気になる工務店はありますか？</t>
        </is>
      </c>
      <c r="D5" s="43" t="inlineStr">
        <is>
          <t>○○様
ぺいほーむです。
家づくりのご検討、お疲れさまです。
平屋を建てる際、
多くの方が2〜3社を比較検討されています。
もし他にも気になる工務店がございましたら、
ぺいほーむで簡単に比較いただけます。
▼ 鹿児島の平屋が得意な工務店一覧
https://payhome.jp/builders
▼ AIに相談して自分に合う工務店を見つける
https://payhome.jp
ご不明点がございましたら、
いつでもお気軽にご相談ください。
━━━━━━━━━━━━━━━
ぺいほーむ（株式会社wazeka）
━━━━━━━━━━━━━━━
※配信停止をご希望の場合は、以下のURLからお手続きください。
https://payhome.jp/unsubscribe?id=XXXX</t>
        </is>
      </c>
      <c r="E5" s="43" t="inlineStr">
        <is>
          <t>追加紹介</t>
        </is>
      </c>
      <c r="F5" s="43" t="inlineStr">
        <is>
          <t>自動送信</t>
        </is>
      </c>
    </row>
    <row r="6" ht="400" customHeight="1">
      <c r="A6" s="42" t="inlineStr">
        <is>
          <t>ステータス確認①メール</t>
        </is>
      </c>
      <c r="B6" s="42" t="inlineStr">
        <is>
          <t>1ヶ月後</t>
        </is>
      </c>
      <c r="C6" s="42" t="inlineStr">
        <is>
          <t>【ぺいほーむ】家づくりの進捗を教えてください</t>
        </is>
      </c>
      <c r="D6" s="42" t="inlineStr">
        <is>
          <t>○○様
ぺいほーむです。
お問い合わせから1ヶ月が経ちました。
家づくりの状況はいかがですか？
1分で回答できるアンケートにご協力ください。
▼ 現在の状況を教えてください（1分で完了）
https://payhome.jp/survey?id=XXXX
お答えいただいた内容に合わせて、
お役に立てる情報をお届けいたします。
━━━━━━━━━━━━━━━
ぺいほーむ（株式会社wazeka）
━━━━━━━━━━━━━━━
※配信停止をご希望の場合は、以下のURLからお手続きください。
https://payhome.jp/unsubscribe?id=XXXX</t>
        </is>
      </c>
      <c r="E6" s="42" t="inlineStr">
        <is>
          <t>ステータス確認</t>
        </is>
      </c>
      <c r="F6" s="42" t="inlineStr">
        <is>
          <t>自動送信</t>
        </is>
      </c>
    </row>
    <row r="7" ht="400" customHeight="1">
      <c r="A7" s="43" t="inlineStr">
        <is>
          <t>ステータス確認②メール</t>
        </is>
      </c>
      <c r="B7" s="43" t="inlineStr">
        <is>
          <t>2ヶ月後</t>
        </is>
      </c>
      <c r="C7" s="43" t="inlineStr">
        <is>
          <t>【ぺいほーむ】間取りや見積もりは進んでいますか？</t>
        </is>
      </c>
      <c r="D7" s="43" t="inlineStr">
        <is>
          <t>○○様
ぺいほーむです。
間取りや見積もりのご検討は
進んでいらっしゃいますか？
この時期に多い疑問をまとめました。
■ 見積もりの比較ポイント
・坪単価だけでなく、付帯工事費も含めた総額で比較
・地盤改良費は見積もりに含まれているか確認
・アフターメンテナンスの条件も比較対象に
■ 平屋の間取りで後悔しないポイント
・家事動線は回遊できるか
・収納は十分か（壁面積が2階建てより少ない）
・将来の生活変化に対応できるか
▼ もっと詳しく知りたい方はAIに相談
https://payhome.jp
━━━━━━━━━━━━━━━
ぺいほーむ（株式会社wazeka）
━━━━━━━━━━━━━━━
※配信停止をご希望の場合は、以下のURLからお手続きください。
https://payhome.jp/unsubscribe?id=XXXX</t>
        </is>
      </c>
      <c r="E7" s="43" t="inlineStr">
        <is>
          <t>ステータス確認</t>
        </is>
      </c>
      <c r="F7" s="43" t="inlineStr">
        <is>
          <t>自動送信</t>
        </is>
      </c>
    </row>
    <row r="8" ht="400" customHeight="1">
      <c r="A8" s="42" t="inlineStr">
        <is>
          <t>成約確認メール</t>
        </is>
      </c>
      <c r="B8" s="42" t="inlineStr">
        <is>
          <t>3ヶ月後</t>
        </is>
      </c>
      <c r="C8" s="42" t="inlineStr">
        <is>
          <t>【ぺいほーむ】ご契約は決まりましたか？</t>
        </is>
      </c>
      <c r="D8" s="42" t="inlineStr">
        <is>
          <t>○○様
ぺいほーむです。
お問い合わせから3ヶ月が経ちました。
家づくりの状況はいかがですか？
▼ 現在の状況を教えてください（1分で完了）
https://payhome.jp/survey?id=XXXX
□ まだ検討中です
□ 工務店と打ち合わせ中です
□ 契約しました！
□ 今回は見送りました
ご契約された方には、
家づくりをもっと楽しむための情報を
引き続きお届けいたします。
まだご検討中の方には、
追加のご提案をさせていただきます。
いつでもお気軽にご相談ください。
━━━━━━━━━━━━━━━
ぺいほーむ（株式会社wazeka）
━━━━━━━━━━━━━━━
※配信停止をご希望の場合は、以下のURLからお手続きください。
https://payhome.jp/unsubscribe?id=XXXX</t>
        </is>
      </c>
      <c r="E8" s="42" t="inlineStr">
        <is>
          <t>成約確認</t>
        </is>
      </c>
      <c r="F8" s="42" t="inlineStr">
        <is>
          <t>自動送信</t>
        </is>
      </c>
    </row>
    <row r="9" ht="400" customHeight="1">
      <c r="A9" s="43" t="inlineStr">
        <is>
          <t>長期フォローメール</t>
        </is>
      </c>
      <c r="B9" s="43" t="inlineStr">
        <is>
          <t>6ヶ月後</t>
        </is>
      </c>
      <c r="C9" s="43" t="inlineStr">
        <is>
          <t>【ぺいほーむ】工事の進捗はいかがですか？</t>
        </is>
      </c>
      <c r="D9" s="43" t="inlineStr">
        <is>
          <t>○○様
ぺいほーむです。
新しいお住まいの工事は順調に進んでいますか？
完成が近づくと、
家具やインテリアの準備も気になりますよね。
ぺいほーむでは、平屋の暮らしに役立つ情報を
YouTubeやSNSで発信しています。
▼ 平屋のルームツアー動画
https://youtube.com/@payhome
完成後、もしよろしければ
お住まいの感想を聞かせてください。
━━━━━━━━━━━━━━━
ぺいほーむ（株式会社wazeka）
━━━━━━━━━━━━━━━
※配信停止をご希望の場合は、以下のURLからお手続きください。
https://payhome.jp/unsubscribe?id=XXXX</t>
        </is>
      </c>
      <c r="E9" s="43" t="inlineStr">
        <is>
          <t>長期フォロー</t>
        </is>
      </c>
      <c r="F9" s="43" t="inlineStr">
        <is>
          <t>自動送信</t>
        </is>
      </c>
    </row>
    <row r="10" ht="400" customHeight="1">
      <c r="A10" s="42" t="inlineStr">
        <is>
          <t>入居後フォローメール</t>
        </is>
      </c>
      <c r="B10" s="42" t="inlineStr">
        <is>
          <t>12ヶ月後</t>
        </is>
      </c>
      <c r="C10" s="42" t="inlineStr">
        <is>
          <t>【ぺいほーむ】新居での暮らしはいかがですか？</t>
        </is>
      </c>
      <c r="D10" s="42" t="inlineStr">
        <is>
          <t>○○様
ぺいほーむです。
新居での暮らしはいかがですか？
平屋の暮らしの感想を
ぜひ聞かせていただけませんか？
▼ 暮らしのアンケート（3分で完了）
https://payhome.jp/review?id=XXXX
いただいた感想は、
これから平屋を検討される方の
参考にさせていただきます。
また、お知り合いの方で
平屋を検討されている方がいらっしゃいましたら、
ぜひぺいほーむをご紹介ください。
https://payhome.jp
引き続き、快適な暮らしをお過ごしください。
━━━━━━━━━━━━━━━
ぺいほーむ（株式会社wazeka）
━━━━━━━━━━━━━━━
※配信停止をご希望の場合は、以下のURLからお手続きください。
https://payhome.jp/unsubscribe?id=XXXX</t>
        </is>
      </c>
      <c r="E10" s="42" t="inlineStr">
        <is>
          <t>口コミ・紹介</t>
        </is>
      </c>
      <c r="F10" s="42" t="inlineStr">
        <is>
          <t>自動送信</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0" customWidth="1" min="1" max="1"/>
    <col width="10" customWidth="1" min="2" max="2"/>
    <col width="10" customWidth="1" min="3" max="3"/>
    <col width="12" customWidth="1" min="4" max="4"/>
    <col width="12" customWidth="1" min="5" max="5"/>
    <col width="12" customWidth="1" min="6" max="6"/>
    <col width="12" customWidth="1" min="7" max="7"/>
    <col width="8" customWidth="1" min="8" max="8"/>
    <col width="10" customWidth="1" min="9" max="9"/>
    <col width="8" customWidth="1" min="10" max="10"/>
    <col width="12" customWidth="1" min="11" max="11"/>
    <col width="8" customWidth="1" min="12" max="12"/>
    <col width="8" customWidth="1" min="13" max="13"/>
    <col width="8" customWidth="1" min="14" max="14"/>
    <col width="15" customWidth="1" min="15" max="15"/>
    <col width="15" customWidth="1" min="16" max="16"/>
    <col width="15" customWidth="1" min="17" max="17"/>
    <col width="8" customWidth="1" min="18" max="18"/>
  </cols>
  <sheetData>
    <row r="1">
      <c r="A1" s="44" t="inlineStr">
        <is>
          <t>リードID</t>
        </is>
      </c>
      <c r="B1" s="44" t="inlineStr">
        <is>
          <t>リード日</t>
        </is>
      </c>
      <c r="C1" s="44" t="inlineStr">
        <is>
          <t>消費者名</t>
        </is>
      </c>
      <c r="D1" s="44" t="inlineStr">
        <is>
          <t>紹介工務店</t>
        </is>
      </c>
      <c r="E1" s="44" t="inlineStr">
        <is>
          <t>リード種別</t>
        </is>
      </c>
      <c r="F1" s="44" t="inlineStr">
        <is>
          <t>ステータス</t>
        </is>
      </c>
      <c r="G1" s="44" t="inlineStr">
        <is>
          <t>商談開始日</t>
        </is>
      </c>
      <c r="H1" s="44" t="inlineStr">
        <is>
          <t>契約日</t>
        </is>
      </c>
      <c r="I1" s="44" t="inlineStr">
        <is>
          <t>契約金額</t>
        </is>
      </c>
      <c r="J1" s="44" t="inlineStr">
        <is>
          <t>報酬率</t>
        </is>
      </c>
      <c r="K1" s="44" t="inlineStr">
        <is>
          <t>成約報酬額</t>
        </is>
      </c>
      <c r="L1" s="44" t="inlineStr">
        <is>
          <t>請求日</t>
        </is>
      </c>
      <c r="M1" s="44" t="inlineStr">
        <is>
          <t>入金日</t>
        </is>
      </c>
      <c r="N1" s="44" t="inlineStr">
        <is>
          <t>入金額</t>
        </is>
      </c>
      <c r="O1" s="44" t="inlineStr">
        <is>
          <t>フォロー1回目</t>
        </is>
      </c>
      <c r="P1" s="44" t="inlineStr">
        <is>
          <t>フォロー2回目</t>
        </is>
      </c>
      <c r="Q1" s="44" t="inlineStr">
        <is>
          <t>フォロー3回目</t>
        </is>
      </c>
      <c r="R1" s="44" t="inlineStr">
        <is>
          <t>備考</t>
        </is>
      </c>
    </row>
    <row r="2">
      <c r="A2" s="45" t="n"/>
      <c r="B2" s="45" t="n"/>
      <c r="C2" s="45" t="n"/>
      <c r="D2" s="45" t="n"/>
      <c r="E2" s="45" t="n"/>
      <c r="F2" s="45" t="n"/>
      <c r="G2" s="45" t="n"/>
      <c r="H2" s="45" t="n"/>
      <c r="I2" s="45" t="n"/>
      <c r="J2" s="45" t="n"/>
      <c r="K2" s="46">
        <f>I2*J2</f>
        <v/>
      </c>
      <c r="L2" s="45" t="n"/>
      <c r="M2" s="45" t="n"/>
      <c r="N2" s="45" t="n"/>
      <c r="O2" s="45" t="n"/>
      <c r="P2" s="45" t="n"/>
      <c r="Q2" s="45" t="n"/>
      <c r="R2" s="45" t="n"/>
    </row>
    <row r="3">
      <c r="A3" s="47" t="n"/>
      <c r="B3" s="47" t="n"/>
      <c r="C3" s="47" t="n"/>
      <c r="D3" s="47" t="n"/>
      <c r="E3" s="47" t="n"/>
      <c r="F3" s="47" t="n"/>
      <c r="G3" s="47" t="n"/>
      <c r="H3" s="47" t="n"/>
      <c r="I3" s="47" t="n"/>
      <c r="J3" s="47" t="n"/>
      <c r="K3" s="48">
        <f>I3*J3</f>
        <v/>
      </c>
      <c r="L3" s="47" t="n"/>
      <c r="M3" s="47" t="n"/>
      <c r="N3" s="47" t="n"/>
      <c r="O3" s="47" t="n"/>
      <c r="P3" s="47" t="n"/>
      <c r="Q3" s="47" t="n"/>
      <c r="R3" s="47" t="n"/>
    </row>
    <row r="4">
      <c r="A4" s="45" t="n"/>
      <c r="B4" s="45" t="n"/>
      <c r="C4" s="45" t="n"/>
      <c r="D4" s="45" t="n"/>
      <c r="E4" s="45" t="n"/>
      <c r="F4" s="45" t="n"/>
      <c r="G4" s="45" t="n"/>
      <c r="H4" s="45" t="n"/>
      <c r="I4" s="45" t="n"/>
      <c r="J4" s="45" t="n"/>
      <c r="K4" s="46">
        <f>I4*J4</f>
        <v/>
      </c>
      <c r="L4" s="45" t="n"/>
      <c r="M4" s="45" t="n"/>
      <c r="N4" s="45" t="n"/>
      <c r="O4" s="45" t="n"/>
      <c r="P4" s="45" t="n"/>
      <c r="Q4" s="45" t="n"/>
      <c r="R4" s="45" t="n"/>
    </row>
    <row r="5">
      <c r="A5" s="47" t="n"/>
      <c r="B5" s="47" t="n"/>
      <c r="C5" s="47" t="n"/>
      <c r="D5" s="47" t="n"/>
      <c r="E5" s="47" t="n"/>
      <c r="F5" s="47" t="n"/>
      <c r="G5" s="47" t="n"/>
      <c r="H5" s="47" t="n"/>
      <c r="I5" s="47" t="n"/>
      <c r="J5" s="47" t="n"/>
      <c r="K5" s="48">
        <f>I5*J5</f>
        <v/>
      </c>
      <c r="L5" s="47" t="n"/>
      <c r="M5" s="47" t="n"/>
      <c r="N5" s="47" t="n"/>
      <c r="O5" s="47" t="n"/>
      <c r="P5" s="47" t="n"/>
      <c r="Q5" s="47" t="n"/>
      <c r="R5" s="47" t="n"/>
    </row>
    <row r="6">
      <c r="A6" s="45" t="n"/>
      <c r="B6" s="45" t="n"/>
      <c r="C6" s="45" t="n"/>
      <c r="D6" s="45" t="n"/>
      <c r="E6" s="45" t="n"/>
      <c r="F6" s="45" t="n"/>
      <c r="G6" s="45" t="n"/>
      <c r="H6" s="45" t="n"/>
      <c r="I6" s="45" t="n"/>
      <c r="J6" s="45" t="n"/>
      <c r="K6" s="46">
        <f>I6*J6</f>
        <v/>
      </c>
      <c r="L6" s="45" t="n"/>
      <c r="M6" s="45" t="n"/>
      <c r="N6" s="45" t="n"/>
      <c r="O6" s="45" t="n"/>
      <c r="P6" s="45" t="n"/>
      <c r="Q6" s="45" t="n"/>
      <c r="R6" s="45" t="n"/>
    </row>
    <row r="7">
      <c r="A7" s="47" t="n"/>
      <c r="B7" s="47" t="n"/>
      <c r="C7" s="47" t="n"/>
      <c r="D7" s="47" t="n"/>
      <c r="E7" s="47" t="n"/>
      <c r="F7" s="47" t="n"/>
      <c r="G7" s="47" t="n"/>
      <c r="H7" s="47" t="n"/>
      <c r="I7" s="47" t="n"/>
      <c r="J7" s="47" t="n"/>
      <c r="K7" s="48">
        <f>I7*J7</f>
        <v/>
      </c>
      <c r="L7" s="47" t="n"/>
      <c r="M7" s="47" t="n"/>
      <c r="N7" s="47" t="n"/>
      <c r="O7" s="47" t="n"/>
      <c r="P7" s="47" t="n"/>
      <c r="Q7" s="47" t="n"/>
      <c r="R7" s="47" t="n"/>
    </row>
    <row r="8">
      <c r="A8" s="45" t="n"/>
      <c r="B8" s="45" t="n"/>
      <c r="C8" s="45" t="n"/>
      <c r="D8" s="45" t="n"/>
      <c r="E8" s="45" t="n"/>
      <c r="F8" s="45" t="n"/>
      <c r="G8" s="45" t="n"/>
      <c r="H8" s="45" t="n"/>
      <c r="I8" s="45" t="n"/>
      <c r="J8" s="45" t="n"/>
      <c r="K8" s="46">
        <f>I8*J8</f>
        <v/>
      </c>
      <c r="L8" s="45" t="n"/>
      <c r="M8" s="45" t="n"/>
      <c r="N8" s="45" t="n"/>
      <c r="O8" s="45" t="n"/>
      <c r="P8" s="45" t="n"/>
      <c r="Q8" s="45" t="n"/>
      <c r="R8" s="45" t="n"/>
    </row>
    <row r="9">
      <c r="A9" s="47" t="n"/>
      <c r="B9" s="47" t="n"/>
      <c r="C9" s="47" t="n"/>
      <c r="D9" s="47" t="n"/>
      <c r="E9" s="47" t="n"/>
      <c r="F9" s="47" t="n"/>
      <c r="G9" s="47" t="n"/>
      <c r="H9" s="47" t="n"/>
      <c r="I9" s="47" t="n"/>
      <c r="J9" s="47" t="n"/>
      <c r="K9" s="48">
        <f>I9*J9</f>
        <v/>
      </c>
      <c r="L9" s="47" t="n"/>
      <c r="M9" s="47" t="n"/>
      <c r="N9" s="47" t="n"/>
      <c r="O9" s="47" t="n"/>
      <c r="P9" s="47" t="n"/>
      <c r="Q9" s="47" t="n"/>
      <c r="R9" s="47" t="n"/>
    </row>
    <row r="10">
      <c r="A10" s="45" t="n"/>
      <c r="B10" s="45" t="n"/>
      <c r="C10" s="45" t="n"/>
      <c r="D10" s="45" t="n"/>
      <c r="E10" s="45" t="n"/>
      <c r="F10" s="45" t="n"/>
      <c r="G10" s="45" t="n"/>
      <c r="H10" s="45" t="n"/>
      <c r="I10" s="45" t="n"/>
      <c r="J10" s="45" t="n"/>
      <c r="K10" s="46">
        <f>I10*J10</f>
        <v/>
      </c>
      <c r="L10" s="45" t="n"/>
      <c r="M10" s="45" t="n"/>
      <c r="N10" s="45" t="n"/>
      <c r="O10" s="45" t="n"/>
      <c r="P10" s="45" t="n"/>
      <c r="Q10" s="45" t="n"/>
      <c r="R10" s="45" t="n"/>
    </row>
    <row r="11">
      <c r="A11" s="47" t="n"/>
      <c r="B11" s="47" t="n"/>
      <c r="C11" s="47" t="n"/>
      <c r="D11" s="47" t="n"/>
      <c r="E11" s="47" t="n"/>
      <c r="F11" s="47" t="n"/>
      <c r="G11" s="47" t="n"/>
      <c r="H11" s="47" t="n"/>
      <c r="I11" s="47" t="n"/>
      <c r="J11" s="47" t="n"/>
      <c r="K11" s="48">
        <f>I11*J11</f>
        <v/>
      </c>
      <c r="L11" s="47" t="n"/>
      <c r="M11" s="47" t="n"/>
      <c r="N11" s="47" t="n"/>
      <c r="O11" s="47" t="n"/>
      <c r="P11" s="47" t="n"/>
      <c r="Q11" s="47" t="n"/>
      <c r="R11" s="47" t="n"/>
    </row>
    <row r="12">
      <c r="A12" s="45" t="n"/>
      <c r="B12" s="45" t="n"/>
      <c r="C12" s="45" t="n"/>
      <c r="D12" s="45" t="n"/>
      <c r="E12" s="45" t="n"/>
      <c r="F12" s="45" t="n"/>
      <c r="G12" s="45" t="n"/>
      <c r="H12" s="45" t="n"/>
      <c r="I12" s="45" t="n"/>
      <c r="J12" s="45" t="n"/>
      <c r="K12" s="46">
        <f>I12*J12</f>
        <v/>
      </c>
      <c r="L12" s="45" t="n"/>
      <c r="M12" s="45" t="n"/>
      <c r="N12" s="45" t="n"/>
      <c r="O12" s="45" t="n"/>
      <c r="P12" s="45" t="n"/>
      <c r="Q12" s="45" t="n"/>
      <c r="R12" s="45" t="n"/>
    </row>
    <row r="13">
      <c r="A13" s="47" t="n"/>
      <c r="B13" s="47" t="n"/>
      <c r="C13" s="47" t="n"/>
      <c r="D13" s="47" t="n"/>
      <c r="E13" s="47" t="n"/>
      <c r="F13" s="47" t="n"/>
      <c r="G13" s="47" t="n"/>
      <c r="H13" s="47" t="n"/>
      <c r="I13" s="47" t="n"/>
      <c r="J13" s="47" t="n"/>
      <c r="K13" s="48">
        <f>I13*J13</f>
        <v/>
      </c>
      <c r="L13" s="47" t="n"/>
      <c r="M13" s="47" t="n"/>
      <c r="N13" s="47" t="n"/>
      <c r="O13" s="47" t="n"/>
      <c r="P13" s="47" t="n"/>
      <c r="Q13" s="47" t="n"/>
      <c r="R13" s="47" t="n"/>
    </row>
    <row r="14">
      <c r="A14" s="45" t="n"/>
      <c r="B14" s="45" t="n"/>
      <c r="C14" s="45" t="n"/>
      <c r="D14" s="45" t="n"/>
      <c r="E14" s="45" t="n"/>
      <c r="F14" s="45" t="n"/>
      <c r="G14" s="45" t="n"/>
      <c r="H14" s="45" t="n"/>
      <c r="I14" s="45" t="n"/>
      <c r="J14" s="45" t="n"/>
      <c r="K14" s="46">
        <f>I14*J14</f>
        <v/>
      </c>
      <c r="L14" s="45" t="n"/>
      <c r="M14" s="45" t="n"/>
      <c r="N14" s="45" t="n"/>
      <c r="O14" s="45" t="n"/>
      <c r="P14" s="45" t="n"/>
      <c r="Q14" s="45" t="n"/>
      <c r="R14" s="45" t="n"/>
    </row>
    <row r="15">
      <c r="A15" s="47" t="n"/>
      <c r="B15" s="47" t="n"/>
      <c r="C15" s="47" t="n"/>
      <c r="D15" s="47" t="n"/>
      <c r="E15" s="47" t="n"/>
      <c r="F15" s="47" t="n"/>
      <c r="G15" s="47" t="n"/>
      <c r="H15" s="47" t="n"/>
      <c r="I15" s="47" t="n"/>
      <c r="J15" s="47" t="n"/>
      <c r="K15" s="48">
        <f>I15*J15</f>
        <v/>
      </c>
      <c r="L15" s="47" t="n"/>
      <c r="M15" s="47" t="n"/>
      <c r="N15" s="47" t="n"/>
      <c r="O15" s="47" t="n"/>
      <c r="P15" s="47" t="n"/>
      <c r="Q15" s="47" t="n"/>
      <c r="R15" s="47" t="n"/>
    </row>
    <row r="16">
      <c r="A16" s="45" t="n"/>
      <c r="B16" s="45" t="n"/>
      <c r="C16" s="45" t="n"/>
      <c r="D16" s="45" t="n"/>
      <c r="E16" s="45" t="n"/>
      <c r="F16" s="45" t="n"/>
      <c r="G16" s="45" t="n"/>
      <c r="H16" s="45" t="n"/>
      <c r="I16" s="45" t="n"/>
      <c r="J16" s="45" t="n"/>
      <c r="K16" s="46">
        <f>I16*J16</f>
        <v/>
      </c>
      <c r="L16" s="45" t="n"/>
      <c r="M16" s="45" t="n"/>
      <c r="N16" s="45" t="n"/>
      <c r="O16" s="45" t="n"/>
      <c r="P16" s="45" t="n"/>
      <c r="Q16" s="45" t="n"/>
      <c r="R16" s="45" t="n"/>
    </row>
    <row r="17">
      <c r="A17" s="47" t="n"/>
      <c r="B17" s="47" t="n"/>
      <c r="C17" s="47" t="n"/>
      <c r="D17" s="47" t="n"/>
      <c r="E17" s="47" t="n"/>
      <c r="F17" s="47" t="n"/>
      <c r="G17" s="47" t="n"/>
      <c r="H17" s="47" t="n"/>
      <c r="I17" s="47" t="n"/>
      <c r="J17" s="47" t="n"/>
      <c r="K17" s="48">
        <f>I17*J17</f>
        <v/>
      </c>
      <c r="L17" s="47" t="n"/>
      <c r="M17" s="47" t="n"/>
      <c r="N17" s="47" t="n"/>
      <c r="O17" s="47" t="n"/>
      <c r="P17" s="47" t="n"/>
      <c r="Q17" s="47" t="n"/>
      <c r="R17" s="47" t="n"/>
    </row>
    <row r="18">
      <c r="A18" s="45" t="n"/>
      <c r="B18" s="45" t="n"/>
      <c r="C18" s="45" t="n"/>
      <c r="D18" s="45" t="n"/>
      <c r="E18" s="45" t="n"/>
      <c r="F18" s="45" t="n"/>
      <c r="G18" s="45" t="n"/>
      <c r="H18" s="45" t="n"/>
      <c r="I18" s="45" t="n"/>
      <c r="J18" s="45" t="n"/>
      <c r="K18" s="46">
        <f>I18*J18</f>
        <v/>
      </c>
      <c r="L18" s="45" t="n"/>
      <c r="M18" s="45" t="n"/>
      <c r="N18" s="45" t="n"/>
      <c r="O18" s="45" t="n"/>
      <c r="P18" s="45" t="n"/>
      <c r="Q18" s="45" t="n"/>
      <c r="R18" s="45" t="n"/>
    </row>
    <row r="19">
      <c r="A19" s="47" t="n"/>
      <c r="B19" s="47" t="n"/>
      <c r="C19" s="47" t="n"/>
      <c r="D19" s="47" t="n"/>
      <c r="E19" s="47" t="n"/>
      <c r="F19" s="47" t="n"/>
      <c r="G19" s="47" t="n"/>
      <c r="H19" s="47" t="n"/>
      <c r="I19" s="47" t="n"/>
      <c r="J19" s="47" t="n"/>
      <c r="K19" s="48">
        <f>I19*J19</f>
        <v/>
      </c>
      <c r="L19" s="47" t="n"/>
      <c r="M19" s="47" t="n"/>
      <c r="N19" s="47" t="n"/>
      <c r="O19" s="47" t="n"/>
      <c r="P19" s="47" t="n"/>
      <c r="Q19" s="47" t="n"/>
      <c r="R19" s="47" t="n"/>
    </row>
    <row r="20">
      <c r="A20" s="45" t="n"/>
      <c r="B20" s="45" t="n"/>
      <c r="C20" s="45" t="n"/>
      <c r="D20" s="45" t="n"/>
      <c r="E20" s="45" t="n"/>
      <c r="F20" s="45" t="n"/>
      <c r="G20" s="45" t="n"/>
      <c r="H20" s="45" t="n"/>
      <c r="I20" s="45" t="n"/>
      <c r="J20" s="45" t="n"/>
      <c r="K20" s="46">
        <f>I20*J20</f>
        <v/>
      </c>
      <c r="L20" s="45" t="n"/>
      <c r="M20" s="45" t="n"/>
      <c r="N20" s="45" t="n"/>
      <c r="O20" s="45" t="n"/>
      <c r="P20" s="45" t="n"/>
      <c r="Q20" s="45" t="n"/>
      <c r="R20" s="45" t="n"/>
    </row>
    <row r="21">
      <c r="A21" s="47" t="n"/>
      <c r="B21" s="47" t="n"/>
      <c r="C21" s="47" t="n"/>
      <c r="D21" s="47" t="n"/>
      <c r="E21" s="47" t="n"/>
      <c r="F21" s="47" t="n"/>
      <c r="G21" s="47" t="n"/>
      <c r="H21" s="47" t="n"/>
      <c r="I21" s="47" t="n"/>
      <c r="J21" s="47" t="n"/>
      <c r="K21" s="48">
        <f>I21*J21</f>
        <v/>
      </c>
      <c r="L21" s="47" t="n"/>
      <c r="M21" s="47" t="n"/>
      <c r="N21" s="47" t="n"/>
      <c r="O21" s="47" t="n"/>
      <c r="P21" s="47" t="n"/>
      <c r="Q21" s="47" t="n"/>
      <c r="R21" s="47" t="n"/>
    </row>
    <row r="22">
      <c r="A22" s="45" t="n"/>
      <c r="B22" s="45" t="n"/>
      <c r="C22" s="45" t="n"/>
      <c r="D22" s="45" t="n"/>
      <c r="E22" s="45" t="n"/>
      <c r="F22" s="45" t="n"/>
      <c r="G22" s="45" t="n"/>
      <c r="H22" s="45" t="n"/>
      <c r="I22" s="45" t="n"/>
      <c r="J22" s="45" t="n"/>
      <c r="K22" s="46">
        <f>I22*J22</f>
        <v/>
      </c>
      <c r="L22" s="45" t="n"/>
      <c r="M22" s="45" t="n"/>
      <c r="N22" s="45" t="n"/>
      <c r="O22" s="45" t="n"/>
      <c r="P22" s="45" t="n"/>
      <c r="Q22" s="45" t="n"/>
      <c r="R22" s="45" t="n"/>
    </row>
    <row r="23">
      <c r="A23" s="47" t="n"/>
      <c r="B23" s="47" t="n"/>
      <c r="C23" s="47" t="n"/>
      <c r="D23" s="47" t="n"/>
      <c r="E23" s="47" t="n"/>
      <c r="F23" s="47" t="n"/>
      <c r="G23" s="47" t="n"/>
      <c r="H23" s="47" t="n"/>
      <c r="I23" s="47" t="n"/>
      <c r="J23" s="47" t="n"/>
      <c r="K23" s="48">
        <f>I23*J23</f>
        <v/>
      </c>
      <c r="L23" s="47" t="n"/>
      <c r="M23" s="47" t="n"/>
      <c r="N23" s="47" t="n"/>
      <c r="O23" s="47" t="n"/>
      <c r="P23" s="47" t="n"/>
      <c r="Q23" s="47" t="n"/>
      <c r="R23" s="47" t="n"/>
    </row>
    <row r="24">
      <c r="A24" s="45" t="n"/>
      <c r="B24" s="45" t="n"/>
      <c r="C24" s="45" t="n"/>
      <c r="D24" s="45" t="n"/>
      <c r="E24" s="45" t="n"/>
      <c r="F24" s="45" t="n"/>
      <c r="G24" s="45" t="n"/>
      <c r="H24" s="45" t="n"/>
      <c r="I24" s="45" t="n"/>
      <c r="J24" s="45" t="n"/>
      <c r="K24" s="46">
        <f>I24*J24</f>
        <v/>
      </c>
      <c r="L24" s="45" t="n"/>
      <c r="M24" s="45" t="n"/>
      <c r="N24" s="45" t="n"/>
      <c r="O24" s="45" t="n"/>
      <c r="P24" s="45" t="n"/>
      <c r="Q24" s="45" t="n"/>
      <c r="R24" s="45" t="n"/>
    </row>
    <row r="25">
      <c r="A25" s="47" t="n"/>
      <c r="B25" s="47" t="n"/>
      <c r="C25" s="47" t="n"/>
      <c r="D25" s="47" t="n"/>
      <c r="E25" s="47" t="n"/>
      <c r="F25" s="47" t="n"/>
      <c r="G25" s="47" t="n"/>
      <c r="H25" s="47" t="n"/>
      <c r="I25" s="47" t="n"/>
      <c r="J25" s="47" t="n"/>
      <c r="K25" s="48">
        <f>I25*J25</f>
        <v/>
      </c>
      <c r="L25" s="47" t="n"/>
      <c r="M25" s="47" t="n"/>
      <c r="N25" s="47" t="n"/>
      <c r="O25" s="47" t="n"/>
      <c r="P25" s="47" t="n"/>
      <c r="Q25" s="47" t="n"/>
      <c r="R25" s="47" t="n"/>
    </row>
    <row r="26">
      <c r="A26" s="45" t="n"/>
      <c r="B26" s="45" t="n"/>
      <c r="C26" s="45" t="n"/>
      <c r="D26" s="45" t="n"/>
      <c r="E26" s="45" t="n"/>
      <c r="F26" s="45" t="n"/>
      <c r="G26" s="45" t="n"/>
      <c r="H26" s="45" t="n"/>
      <c r="I26" s="45" t="n"/>
      <c r="J26" s="45" t="n"/>
      <c r="K26" s="46">
        <f>I26*J26</f>
        <v/>
      </c>
      <c r="L26" s="45" t="n"/>
      <c r="M26" s="45" t="n"/>
      <c r="N26" s="45" t="n"/>
      <c r="O26" s="45" t="n"/>
      <c r="P26" s="45" t="n"/>
      <c r="Q26" s="45" t="n"/>
      <c r="R26" s="45" t="n"/>
    </row>
    <row r="27">
      <c r="A27" s="47" t="n"/>
      <c r="B27" s="47" t="n"/>
      <c r="C27" s="47" t="n"/>
      <c r="D27" s="47" t="n"/>
      <c r="E27" s="47" t="n"/>
      <c r="F27" s="47" t="n"/>
      <c r="G27" s="47" t="n"/>
      <c r="H27" s="47" t="n"/>
      <c r="I27" s="47" t="n"/>
      <c r="J27" s="47" t="n"/>
      <c r="K27" s="48">
        <f>I27*J27</f>
        <v/>
      </c>
      <c r="L27" s="47" t="n"/>
      <c r="M27" s="47" t="n"/>
      <c r="N27" s="47" t="n"/>
      <c r="O27" s="47" t="n"/>
      <c r="P27" s="47" t="n"/>
      <c r="Q27" s="47" t="n"/>
      <c r="R27" s="47" t="n"/>
    </row>
    <row r="28">
      <c r="A28" s="45" t="n"/>
      <c r="B28" s="45" t="n"/>
      <c r="C28" s="45" t="n"/>
      <c r="D28" s="45" t="n"/>
      <c r="E28" s="45" t="n"/>
      <c r="F28" s="45" t="n"/>
      <c r="G28" s="45" t="n"/>
      <c r="H28" s="45" t="n"/>
      <c r="I28" s="45" t="n"/>
      <c r="J28" s="45" t="n"/>
      <c r="K28" s="46">
        <f>I28*J28</f>
        <v/>
      </c>
      <c r="L28" s="45" t="n"/>
      <c r="M28" s="45" t="n"/>
      <c r="N28" s="45" t="n"/>
      <c r="O28" s="45" t="n"/>
      <c r="P28" s="45" t="n"/>
      <c r="Q28" s="45" t="n"/>
      <c r="R28" s="45" t="n"/>
    </row>
    <row r="29">
      <c r="A29" s="47" t="n"/>
      <c r="B29" s="47" t="n"/>
      <c r="C29" s="47" t="n"/>
      <c r="D29" s="47" t="n"/>
      <c r="E29" s="47" t="n"/>
      <c r="F29" s="47" t="n"/>
      <c r="G29" s="47" t="n"/>
      <c r="H29" s="47" t="n"/>
      <c r="I29" s="47" t="n"/>
      <c r="J29" s="47" t="n"/>
      <c r="K29" s="48">
        <f>I29*J29</f>
        <v/>
      </c>
      <c r="L29" s="47" t="n"/>
      <c r="M29" s="47" t="n"/>
      <c r="N29" s="47" t="n"/>
      <c r="O29" s="47" t="n"/>
      <c r="P29" s="47" t="n"/>
      <c r="Q29" s="47" t="n"/>
      <c r="R29" s="47" t="n"/>
    </row>
    <row r="30">
      <c r="A30" s="45" t="n"/>
      <c r="B30" s="45" t="n"/>
      <c r="C30" s="45" t="n"/>
      <c r="D30" s="45" t="n"/>
      <c r="E30" s="45" t="n"/>
      <c r="F30" s="45" t="n"/>
      <c r="G30" s="45" t="n"/>
      <c r="H30" s="45" t="n"/>
      <c r="I30" s="45" t="n"/>
      <c r="J30" s="45" t="n"/>
      <c r="K30" s="46">
        <f>I30*J30</f>
        <v/>
      </c>
      <c r="L30" s="45" t="n"/>
      <c r="M30" s="45" t="n"/>
      <c r="N30" s="45" t="n"/>
      <c r="O30" s="45" t="n"/>
      <c r="P30" s="45" t="n"/>
      <c r="Q30" s="45" t="n"/>
      <c r="R30" s="45" t="n"/>
    </row>
    <row r="31">
      <c r="A31" s="47" t="n"/>
      <c r="B31" s="47" t="n"/>
      <c r="C31" s="47" t="n"/>
      <c r="D31" s="47" t="n"/>
      <c r="E31" s="47" t="n"/>
      <c r="F31" s="47" t="n"/>
      <c r="G31" s="47" t="n"/>
      <c r="H31" s="47" t="n"/>
      <c r="I31" s="47" t="n"/>
      <c r="J31" s="47" t="n"/>
      <c r="K31" s="48">
        <f>I31*J31</f>
        <v/>
      </c>
      <c r="L31" s="47" t="n"/>
      <c r="M31" s="47" t="n"/>
      <c r="N31" s="47" t="n"/>
      <c r="O31" s="47" t="n"/>
      <c r="P31" s="47" t="n"/>
      <c r="Q31" s="47" t="n"/>
      <c r="R31" s="47" t="n"/>
    </row>
  </sheetData>
  <dataValidations count="2">
    <dataValidation sqref="F2:F1000" showDropDown="0" showInputMessage="0" showErrorMessage="0" allowBlank="1" type="list">
      <formula1>"新規,対応中,商談中,見積提出,契約済,請求済,入金済,見送り"</formula1>
    </dataValidation>
    <dataValidation sqref="E2:E1000" showDropDown="0" showInputMessage="0" showErrorMessage="0" allowBlank="1" type="list">
      <formula1>"資料請求,見学会予約,無料相談,AIチャット"</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8" customWidth="1" min="1" max="1"/>
    <col width="10" customWidth="1" min="2" max="2"/>
    <col width="20" customWidth="1" min="3" max="3"/>
    <col width="21" customWidth="1" min="4" max="4"/>
    <col width="8" customWidth="1" min="5" max="5"/>
    <col width="16" customWidth="1" min="6" max="6"/>
    <col width="14" customWidth="1" min="7" max="7"/>
    <col width="12" customWidth="1" min="8" max="8"/>
    <col width="12" customWidth="1" min="9" max="9"/>
    <col width="12" customWidth="1" min="10" max="10"/>
    <col width="8" customWidth="1" min="11" max="11"/>
    <col width="12" customWidth="1" min="12" max="12"/>
    <col width="8" customWidth="1" min="13" max="13"/>
    <col width="8" customWidth="1" min="14" max="14"/>
  </cols>
  <sheetData>
    <row r="1">
      <c r="A1" s="44" t="inlineStr">
        <is>
          <t>No</t>
        </is>
      </c>
      <c r="B1" s="44" t="inlineStr">
        <is>
          <t>工務店名</t>
        </is>
      </c>
      <c r="C1" s="44" t="inlineStr">
        <is>
          <t>フリープラン開始日</t>
        </is>
      </c>
      <c r="D1" s="44" t="inlineStr">
        <is>
          <t>3ヶ月経過日</t>
        </is>
      </c>
      <c r="E1" s="44" t="inlineStr">
        <is>
          <t>月間PV</t>
        </is>
      </c>
      <c r="F1" s="44" t="inlineStr">
        <is>
          <t>累計リード件数</t>
        </is>
      </c>
      <c r="G1" s="44" t="inlineStr">
        <is>
          <t>有料化提案日</t>
        </is>
      </c>
      <c r="H1" s="44" t="inlineStr">
        <is>
          <t>提案プラン</t>
        </is>
      </c>
      <c r="I1" s="44" t="inlineStr">
        <is>
          <t>工務店回答</t>
        </is>
      </c>
      <c r="J1" s="44" t="inlineStr">
        <is>
          <t>有料開始日</t>
        </is>
      </c>
      <c r="K1" s="44" t="inlineStr">
        <is>
          <t>月額</t>
        </is>
      </c>
      <c r="L1" s="44" t="inlineStr">
        <is>
          <t>ステータス</t>
        </is>
      </c>
      <c r="M1" s="44" t="inlineStr">
        <is>
          <t>担当</t>
        </is>
      </c>
      <c r="N1" s="44" t="inlineStr">
        <is>
          <t>備考</t>
        </is>
      </c>
    </row>
    <row r="2">
      <c r="A2" s="45" t="n">
        <v>1</v>
      </c>
      <c r="B2" s="45" t="n"/>
      <c r="C2" s="45" t="n"/>
      <c r="D2" s="49">
        <f>IF(C2="","",C2+90)</f>
        <v/>
      </c>
      <c r="E2" s="45" t="n"/>
      <c r="F2" s="45" t="n"/>
      <c r="G2" s="45" t="n"/>
      <c r="H2" s="45" t="n"/>
      <c r="I2" s="45" t="n"/>
      <c r="J2" s="45" t="n"/>
      <c r="K2" s="45" t="n"/>
      <c r="L2" s="45" t="n"/>
      <c r="M2" s="45" t="n"/>
      <c r="N2" s="45" t="n"/>
    </row>
    <row r="3">
      <c r="A3" s="47" t="n">
        <v>2</v>
      </c>
      <c r="B3" s="47" t="n"/>
      <c r="C3" s="47" t="n"/>
      <c r="D3" s="50">
        <f>IF(C3="","",C3+90)</f>
        <v/>
      </c>
      <c r="E3" s="47" t="n"/>
      <c r="F3" s="47" t="n"/>
      <c r="G3" s="47" t="n"/>
      <c r="H3" s="47" t="n"/>
      <c r="I3" s="47" t="n"/>
      <c r="J3" s="47" t="n"/>
      <c r="K3" s="47" t="n"/>
      <c r="L3" s="47" t="n"/>
      <c r="M3" s="47" t="n"/>
      <c r="N3" s="47" t="n"/>
    </row>
    <row r="4">
      <c r="A4" s="45" t="n">
        <v>3</v>
      </c>
      <c r="B4" s="45" t="n"/>
      <c r="C4" s="45" t="n"/>
      <c r="D4" s="49">
        <f>IF(C4="","",C4+90)</f>
        <v/>
      </c>
      <c r="E4" s="45" t="n"/>
      <c r="F4" s="45" t="n"/>
      <c r="G4" s="45" t="n"/>
      <c r="H4" s="45" t="n"/>
      <c r="I4" s="45" t="n"/>
      <c r="J4" s="45" t="n"/>
      <c r="K4" s="45" t="n"/>
      <c r="L4" s="45" t="n"/>
      <c r="M4" s="45" t="n"/>
      <c r="N4" s="45" t="n"/>
    </row>
    <row r="5">
      <c r="A5" s="47" t="n">
        <v>4</v>
      </c>
      <c r="B5" s="47" t="n"/>
      <c r="C5" s="47" t="n"/>
      <c r="D5" s="50">
        <f>IF(C5="","",C5+90)</f>
        <v/>
      </c>
      <c r="E5" s="47" t="n"/>
      <c r="F5" s="47" t="n"/>
      <c r="G5" s="47" t="n"/>
      <c r="H5" s="47" t="n"/>
      <c r="I5" s="47" t="n"/>
      <c r="J5" s="47" t="n"/>
      <c r="K5" s="47" t="n"/>
      <c r="L5" s="47" t="n"/>
      <c r="M5" s="47" t="n"/>
      <c r="N5" s="47" t="n"/>
    </row>
    <row r="6">
      <c r="A6" s="45" t="n">
        <v>5</v>
      </c>
      <c r="B6" s="45" t="n"/>
      <c r="C6" s="45" t="n"/>
      <c r="D6" s="49">
        <f>IF(C6="","",C6+90)</f>
        <v/>
      </c>
      <c r="E6" s="45" t="n"/>
      <c r="F6" s="45" t="n"/>
      <c r="G6" s="45" t="n"/>
      <c r="H6" s="45" t="n"/>
      <c r="I6" s="45" t="n"/>
      <c r="J6" s="45" t="n"/>
      <c r="K6" s="45" t="n"/>
      <c r="L6" s="45" t="n"/>
      <c r="M6" s="45" t="n"/>
      <c r="N6" s="45" t="n"/>
    </row>
    <row r="7">
      <c r="A7" s="47" t="n">
        <v>6</v>
      </c>
      <c r="B7" s="47" t="n"/>
      <c r="C7" s="47" t="n"/>
      <c r="D7" s="50">
        <f>IF(C7="","",C7+90)</f>
        <v/>
      </c>
      <c r="E7" s="47" t="n"/>
      <c r="F7" s="47" t="n"/>
      <c r="G7" s="47" t="n"/>
      <c r="H7" s="47" t="n"/>
      <c r="I7" s="47" t="n"/>
      <c r="J7" s="47" t="n"/>
      <c r="K7" s="47" t="n"/>
      <c r="L7" s="47" t="n"/>
      <c r="M7" s="47" t="n"/>
      <c r="N7" s="47" t="n"/>
    </row>
    <row r="8">
      <c r="A8" s="45" t="n">
        <v>7</v>
      </c>
      <c r="B8" s="45" t="n"/>
      <c r="C8" s="45" t="n"/>
      <c r="D8" s="49">
        <f>IF(C8="","",C8+90)</f>
        <v/>
      </c>
      <c r="E8" s="45" t="n"/>
      <c r="F8" s="45" t="n"/>
      <c r="G8" s="45" t="n"/>
      <c r="H8" s="45" t="n"/>
      <c r="I8" s="45" t="n"/>
      <c r="J8" s="45" t="n"/>
      <c r="K8" s="45" t="n"/>
      <c r="L8" s="45" t="n"/>
      <c r="M8" s="45" t="n"/>
      <c r="N8" s="45" t="n"/>
    </row>
    <row r="9">
      <c r="A9" s="47" t="n">
        <v>8</v>
      </c>
      <c r="B9" s="47" t="n"/>
      <c r="C9" s="47" t="n"/>
      <c r="D9" s="50">
        <f>IF(C9="","",C9+90)</f>
        <v/>
      </c>
      <c r="E9" s="47" t="n"/>
      <c r="F9" s="47" t="n"/>
      <c r="G9" s="47" t="n"/>
      <c r="H9" s="47" t="n"/>
      <c r="I9" s="47" t="n"/>
      <c r="J9" s="47" t="n"/>
      <c r="K9" s="47" t="n"/>
      <c r="L9" s="47" t="n"/>
      <c r="M9" s="47" t="n"/>
      <c r="N9" s="47" t="n"/>
    </row>
    <row r="10">
      <c r="A10" s="45" t="n">
        <v>9</v>
      </c>
      <c r="B10" s="45" t="n"/>
      <c r="C10" s="45" t="n"/>
      <c r="D10" s="49">
        <f>IF(C10="","",C10+90)</f>
        <v/>
      </c>
      <c r="E10" s="45" t="n"/>
      <c r="F10" s="45" t="n"/>
      <c r="G10" s="45" t="n"/>
      <c r="H10" s="45" t="n"/>
      <c r="I10" s="45" t="n"/>
      <c r="J10" s="45" t="n"/>
      <c r="K10" s="45" t="n"/>
      <c r="L10" s="45" t="n"/>
      <c r="M10" s="45" t="n"/>
      <c r="N10" s="45" t="n"/>
    </row>
    <row r="11">
      <c r="A11" s="47" t="n">
        <v>10</v>
      </c>
      <c r="B11" s="47" t="n"/>
      <c r="C11" s="47" t="n"/>
      <c r="D11" s="50">
        <f>IF(C11="","",C11+90)</f>
        <v/>
      </c>
      <c r="E11" s="47" t="n"/>
      <c r="F11" s="47" t="n"/>
      <c r="G11" s="47" t="n"/>
      <c r="H11" s="47" t="n"/>
      <c r="I11" s="47" t="n"/>
      <c r="J11" s="47" t="n"/>
      <c r="K11" s="47" t="n"/>
      <c r="L11" s="47" t="n"/>
      <c r="M11" s="47" t="n"/>
      <c r="N11" s="47" t="n"/>
    </row>
    <row r="12">
      <c r="A12" s="45" t="n">
        <v>11</v>
      </c>
      <c r="B12" s="45" t="n"/>
      <c r="C12" s="45" t="n"/>
      <c r="D12" s="49">
        <f>IF(C12="","",C12+90)</f>
        <v/>
      </c>
      <c r="E12" s="45" t="n"/>
      <c r="F12" s="45" t="n"/>
      <c r="G12" s="45" t="n"/>
      <c r="H12" s="45" t="n"/>
      <c r="I12" s="45" t="n"/>
      <c r="J12" s="45" t="n"/>
      <c r="K12" s="45" t="n"/>
      <c r="L12" s="45" t="n"/>
      <c r="M12" s="45" t="n"/>
      <c r="N12" s="45" t="n"/>
    </row>
    <row r="13">
      <c r="A13" s="47" t="n">
        <v>12</v>
      </c>
      <c r="B13" s="47" t="n"/>
      <c r="C13" s="47" t="n"/>
      <c r="D13" s="50">
        <f>IF(C13="","",C13+90)</f>
        <v/>
      </c>
      <c r="E13" s="47" t="n"/>
      <c r="F13" s="47" t="n"/>
      <c r="G13" s="47" t="n"/>
      <c r="H13" s="47" t="n"/>
      <c r="I13" s="47" t="n"/>
      <c r="J13" s="47" t="n"/>
      <c r="K13" s="47" t="n"/>
      <c r="L13" s="47" t="n"/>
      <c r="M13" s="47" t="n"/>
      <c r="N13" s="47" t="n"/>
    </row>
    <row r="14">
      <c r="A14" s="45" t="n">
        <v>13</v>
      </c>
      <c r="B14" s="45" t="n"/>
      <c r="C14" s="45" t="n"/>
      <c r="D14" s="49">
        <f>IF(C14="","",C14+90)</f>
        <v/>
      </c>
      <c r="E14" s="45" t="n"/>
      <c r="F14" s="45" t="n"/>
      <c r="G14" s="45" t="n"/>
      <c r="H14" s="45" t="n"/>
      <c r="I14" s="45" t="n"/>
      <c r="J14" s="45" t="n"/>
      <c r="K14" s="45" t="n"/>
      <c r="L14" s="45" t="n"/>
      <c r="M14" s="45" t="n"/>
      <c r="N14" s="45" t="n"/>
    </row>
    <row r="15">
      <c r="A15" s="47" t="n">
        <v>14</v>
      </c>
      <c r="B15" s="47" t="n"/>
      <c r="C15" s="47" t="n"/>
      <c r="D15" s="50">
        <f>IF(C15="","",C15+90)</f>
        <v/>
      </c>
      <c r="E15" s="47" t="n"/>
      <c r="F15" s="47" t="n"/>
      <c r="G15" s="47" t="n"/>
      <c r="H15" s="47" t="n"/>
      <c r="I15" s="47" t="n"/>
      <c r="J15" s="47" t="n"/>
      <c r="K15" s="47" t="n"/>
      <c r="L15" s="47" t="n"/>
      <c r="M15" s="47" t="n"/>
      <c r="N15" s="47" t="n"/>
    </row>
    <row r="16">
      <c r="A16" s="45" t="n">
        <v>15</v>
      </c>
      <c r="B16" s="45" t="n"/>
      <c r="C16" s="45" t="n"/>
      <c r="D16" s="49">
        <f>IF(C16="","",C16+90)</f>
        <v/>
      </c>
      <c r="E16" s="45" t="n"/>
      <c r="F16" s="45" t="n"/>
      <c r="G16" s="45" t="n"/>
      <c r="H16" s="45" t="n"/>
      <c r="I16" s="45" t="n"/>
      <c r="J16" s="45" t="n"/>
      <c r="K16" s="45" t="n"/>
      <c r="L16" s="45" t="n"/>
      <c r="M16" s="45" t="n"/>
      <c r="N16" s="45" t="n"/>
    </row>
    <row r="17">
      <c r="A17" s="47" t="n">
        <v>16</v>
      </c>
      <c r="B17" s="47" t="n"/>
      <c r="C17" s="47" t="n"/>
      <c r="D17" s="50">
        <f>IF(C17="","",C17+90)</f>
        <v/>
      </c>
      <c r="E17" s="47" t="n"/>
      <c r="F17" s="47" t="n"/>
      <c r="G17" s="47" t="n"/>
      <c r="H17" s="47" t="n"/>
      <c r="I17" s="47" t="n"/>
      <c r="J17" s="47" t="n"/>
      <c r="K17" s="47" t="n"/>
      <c r="L17" s="47" t="n"/>
      <c r="M17" s="47" t="n"/>
      <c r="N17" s="47" t="n"/>
    </row>
    <row r="18">
      <c r="A18" s="45" t="n">
        <v>17</v>
      </c>
      <c r="B18" s="45" t="n"/>
      <c r="C18" s="45" t="n"/>
      <c r="D18" s="49">
        <f>IF(C18="","",C18+90)</f>
        <v/>
      </c>
      <c r="E18" s="45" t="n"/>
      <c r="F18" s="45" t="n"/>
      <c r="G18" s="45" t="n"/>
      <c r="H18" s="45" t="n"/>
      <c r="I18" s="45" t="n"/>
      <c r="J18" s="45" t="n"/>
      <c r="K18" s="45" t="n"/>
      <c r="L18" s="45" t="n"/>
      <c r="M18" s="45" t="n"/>
      <c r="N18" s="45" t="n"/>
    </row>
    <row r="19">
      <c r="A19" s="47" t="n">
        <v>18</v>
      </c>
      <c r="B19" s="47" t="n"/>
      <c r="C19" s="47" t="n"/>
      <c r="D19" s="50">
        <f>IF(C19="","",C19+90)</f>
        <v/>
      </c>
      <c r="E19" s="47" t="n"/>
      <c r="F19" s="47" t="n"/>
      <c r="G19" s="47" t="n"/>
      <c r="H19" s="47" t="n"/>
      <c r="I19" s="47" t="n"/>
      <c r="J19" s="47" t="n"/>
      <c r="K19" s="47" t="n"/>
      <c r="L19" s="47" t="n"/>
      <c r="M19" s="47" t="n"/>
      <c r="N19" s="47" t="n"/>
    </row>
    <row r="20">
      <c r="A20" s="45" t="n">
        <v>19</v>
      </c>
      <c r="B20" s="45" t="n"/>
      <c r="C20" s="45" t="n"/>
      <c r="D20" s="49">
        <f>IF(C20="","",C20+90)</f>
        <v/>
      </c>
      <c r="E20" s="45" t="n"/>
      <c r="F20" s="45" t="n"/>
      <c r="G20" s="45" t="n"/>
      <c r="H20" s="45" t="n"/>
      <c r="I20" s="45" t="n"/>
      <c r="J20" s="45" t="n"/>
      <c r="K20" s="45" t="n"/>
      <c r="L20" s="45" t="n"/>
      <c r="M20" s="45" t="n"/>
      <c r="N20" s="45" t="n"/>
    </row>
    <row r="21">
      <c r="A21" s="47" t="n">
        <v>20</v>
      </c>
      <c r="B21" s="47" t="n"/>
      <c r="C21" s="47" t="n"/>
      <c r="D21" s="50">
        <f>IF(C21="","",C21+90)</f>
        <v/>
      </c>
      <c r="E21" s="47" t="n"/>
      <c r="F21" s="47" t="n"/>
      <c r="G21" s="47" t="n"/>
      <c r="H21" s="47" t="n"/>
      <c r="I21" s="47" t="n"/>
      <c r="J21" s="47" t="n"/>
      <c r="K21" s="47" t="n"/>
      <c r="L21" s="47" t="n"/>
      <c r="M21" s="47" t="n"/>
      <c r="N21" s="47" t="n"/>
    </row>
    <row r="22">
      <c r="A22" s="45" t="n">
        <v>21</v>
      </c>
      <c r="B22" s="45" t="n"/>
      <c r="C22" s="45" t="n"/>
      <c r="D22" s="49">
        <f>IF(C22="","",C22+90)</f>
        <v/>
      </c>
      <c r="E22" s="45" t="n"/>
      <c r="F22" s="45" t="n"/>
      <c r="G22" s="45" t="n"/>
      <c r="H22" s="45" t="n"/>
      <c r="I22" s="45" t="n"/>
      <c r="J22" s="45" t="n"/>
      <c r="K22" s="45" t="n"/>
      <c r="L22" s="45" t="n"/>
      <c r="M22" s="45" t="n"/>
      <c r="N22" s="45" t="n"/>
    </row>
    <row r="23">
      <c r="A23" s="47" t="n">
        <v>22</v>
      </c>
      <c r="B23" s="47" t="n"/>
      <c r="C23" s="47" t="n"/>
      <c r="D23" s="50">
        <f>IF(C23="","",C23+90)</f>
        <v/>
      </c>
      <c r="E23" s="47" t="n"/>
      <c r="F23" s="47" t="n"/>
      <c r="G23" s="47" t="n"/>
      <c r="H23" s="47" t="n"/>
      <c r="I23" s="47" t="n"/>
      <c r="J23" s="47" t="n"/>
      <c r="K23" s="47" t="n"/>
      <c r="L23" s="47" t="n"/>
      <c r="M23" s="47" t="n"/>
      <c r="N23" s="47" t="n"/>
    </row>
    <row r="24">
      <c r="A24" s="45" t="n">
        <v>23</v>
      </c>
      <c r="B24" s="45" t="n"/>
      <c r="C24" s="45" t="n"/>
      <c r="D24" s="49">
        <f>IF(C24="","",C24+90)</f>
        <v/>
      </c>
      <c r="E24" s="45" t="n"/>
      <c r="F24" s="45" t="n"/>
      <c r="G24" s="45" t="n"/>
      <c r="H24" s="45" t="n"/>
      <c r="I24" s="45" t="n"/>
      <c r="J24" s="45" t="n"/>
      <c r="K24" s="45" t="n"/>
      <c r="L24" s="45" t="n"/>
      <c r="M24" s="45" t="n"/>
      <c r="N24" s="45" t="n"/>
    </row>
    <row r="25">
      <c r="A25" s="47" t="n">
        <v>24</v>
      </c>
      <c r="B25" s="47" t="n"/>
      <c r="C25" s="47" t="n"/>
      <c r="D25" s="50">
        <f>IF(C25="","",C25+90)</f>
        <v/>
      </c>
      <c r="E25" s="47" t="n"/>
      <c r="F25" s="47" t="n"/>
      <c r="G25" s="47" t="n"/>
      <c r="H25" s="47" t="n"/>
      <c r="I25" s="47" t="n"/>
      <c r="J25" s="47" t="n"/>
      <c r="K25" s="47" t="n"/>
      <c r="L25" s="47" t="n"/>
      <c r="M25" s="47" t="n"/>
      <c r="N25" s="47" t="n"/>
    </row>
    <row r="26">
      <c r="A26" s="45" t="n">
        <v>25</v>
      </c>
      <c r="B26" s="45" t="n"/>
      <c r="C26" s="45" t="n"/>
      <c r="D26" s="49">
        <f>IF(C26="","",C26+90)</f>
        <v/>
      </c>
      <c r="E26" s="45" t="n"/>
      <c r="F26" s="45" t="n"/>
      <c r="G26" s="45" t="n"/>
      <c r="H26" s="45" t="n"/>
      <c r="I26" s="45" t="n"/>
      <c r="J26" s="45" t="n"/>
      <c r="K26" s="45" t="n"/>
      <c r="L26" s="45" t="n"/>
      <c r="M26" s="45" t="n"/>
      <c r="N26" s="45" t="n"/>
    </row>
    <row r="27">
      <c r="A27" s="47" t="n">
        <v>26</v>
      </c>
      <c r="B27" s="47" t="n"/>
      <c r="C27" s="47" t="n"/>
      <c r="D27" s="50">
        <f>IF(C27="","",C27+90)</f>
        <v/>
      </c>
      <c r="E27" s="47" t="n"/>
      <c r="F27" s="47" t="n"/>
      <c r="G27" s="47" t="n"/>
      <c r="H27" s="47" t="n"/>
      <c r="I27" s="47" t="n"/>
      <c r="J27" s="47" t="n"/>
      <c r="K27" s="47" t="n"/>
      <c r="L27" s="47" t="n"/>
      <c r="M27" s="47" t="n"/>
      <c r="N27" s="47" t="n"/>
    </row>
    <row r="28">
      <c r="A28" s="45" t="n">
        <v>27</v>
      </c>
      <c r="B28" s="45" t="n"/>
      <c r="C28" s="45" t="n"/>
      <c r="D28" s="49">
        <f>IF(C28="","",C28+90)</f>
        <v/>
      </c>
      <c r="E28" s="45" t="n"/>
      <c r="F28" s="45" t="n"/>
      <c r="G28" s="45" t="n"/>
      <c r="H28" s="45" t="n"/>
      <c r="I28" s="45" t="n"/>
      <c r="J28" s="45" t="n"/>
      <c r="K28" s="45" t="n"/>
      <c r="L28" s="45" t="n"/>
      <c r="M28" s="45" t="n"/>
      <c r="N28" s="45" t="n"/>
    </row>
    <row r="29">
      <c r="A29" s="47" t="n">
        <v>28</v>
      </c>
      <c r="B29" s="47" t="n"/>
      <c r="C29" s="47" t="n"/>
      <c r="D29" s="50">
        <f>IF(C29="","",C29+90)</f>
        <v/>
      </c>
      <c r="E29" s="47" t="n"/>
      <c r="F29" s="47" t="n"/>
      <c r="G29" s="47" t="n"/>
      <c r="H29" s="47" t="n"/>
      <c r="I29" s="47" t="n"/>
      <c r="J29" s="47" t="n"/>
      <c r="K29" s="47" t="n"/>
      <c r="L29" s="47" t="n"/>
      <c r="M29" s="47" t="n"/>
      <c r="N29" s="47" t="n"/>
    </row>
    <row r="30">
      <c r="A30" s="45" t="n">
        <v>29</v>
      </c>
      <c r="B30" s="45" t="n"/>
      <c r="C30" s="45" t="n"/>
      <c r="D30" s="49">
        <f>IF(C30="","",C30+90)</f>
        <v/>
      </c>
      <c r="E30" s="45" t="n"/>
      <c r="F30" s="45" t="n"/>
      <c r="G30" s="45" t="n"/>
      <c r="H30" s="45" t="n"/>
      <c r="I30" s="45" t="n"/>
      <c r="J30" s="45" t="n"/>
      <c r="K30" s="45" t="n"/>
      <c r="L30" s="45" t="n"/>
      <c r="M30" s="45" t="n"/>
      <c r="N30" s="45" t="n"/>
    </row>
    <row r="31">
      <c r="A31" s="47" t="n">
        <v>30</v>
      </c>
      <c r="B31" s="47" t="n"/>
      <c r="C31" s="47" t="n"/>
      <c r="D31" s="50">
        <f>IF(C31="","",C31+90)</f>
        <v/>
      </c>
      <c r="E31" s="47" t="n"/>
      <c r="F31" s="47" t="n"/>
      <c r="G31" s="47" t="n"/>
      <c r="H31" s="47" t="n"/>
      <c r="I31" s="47" t="n"/>
      <c r="J31" s="47" t="n"/>
      <c r="K31" s="47" t="n"/>
      <c r="L31" s="47" t="n"/>
      <c r="M31" s="47" t="n"/>
      <c r="N31" s="47" t="n"/>
    </row>
  </sheetData>
  <dataValidations count="2">
    <dataValidation sqref="H2:H1000" showDropDown="0" showInputMessage="0" showErrorMessage="0" allowBlank="1" type="list">
      <formula1>"成果報酬,掲載ベーシック,掲載プロ"</formula1>
    </dataValidation>
    <dataValidation sqref="L2:L1000" showDropDown="0" showInputMessage="0" showErrorMessage="0" allowBlank="1" type="list">
      <formula1>"フリープラン中,提案準備中,提案済,検討中,契約済,見送り,解約"</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2026-03-24T06:02:08Z</dcterms:created>
  <dcterms:modified xmlns:dcterms="http://purl.org/dc/terms/" xmlns:xsi="http://www.w3.org/2001/XMLSchema-instance" xsi:type="dcterms:W3CDTF">2026-03-26T23:15:45Z</dcterms:modified>
</cp:coreProperties>
</file>