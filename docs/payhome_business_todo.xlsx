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ダッシュボード" sheetId="1" state="visible" r:id="rId1"/>
    <sheet xmlns:r="http://schemas.openxmlformats.org/officeDocument/2006/relationships" name="ガントチャート" sheetId="2" state="visible" r:id="rId2"/>
    <sheet xmlns:r="http://schemas.openxmlformats.org/officeDocument/2006/relationships" name="担当別Todo" sheetId="3" state="visible" r:id="rId3"/>
    <sheet xmlns:r="http://schemas.openxmlformats.org/officeDocument/2006/relationships" name="Todo詳細" sheetId="4" state="visible" r:id="rId4"/>
    <sheet xmlns:r="http://schemas.openxmlformats.org/officeDocument/2006/relationships" name="メール営業管理" sheetId="5" state="visible" r:id="rId5"/>
    <sheet xmlns:r="http://schemas.openxmlformats.org/officeDocument/2006/relationships" name="メールテンプレート" sheetId="6" state="visible" r:id="rId6"/>
    <sheet xmlns:r="http://schemas.openxmlformats.org/officeDocument/2006/relationships" name="掲載内容監査" sheetId="7" state="visible" r:id="rId7"/>
    <sheet xmlns:r="http://schemas.openxmlformats.org/officeDocument/2006/relationships" name="工務店ヒアリング管理" sheetId="8" state="visible" r:id="rId8"/>
    <sheet xmlns:r="http://schemas.openxmlformats.org/officeDocument/2006/relationships" name="追加Todo受付" sheetId="9" state="visible" r:id="rId9"/>
    <sheet xmlns:r="http://schemas.openxmlformats.org/officeDocument/2006/relationships" name="使い方ガイド" sheetId="10" state="visible" r:id="rId10"/>
    <sheet xmlns:r="http://schemas.openxmlformats.org/officeDocument/2006/relationships" name="YouTube戦略" sheetId="11" state="visible" r:id="rId11"/>
    <sheet xmlns:r="http://schemas.openxmlformats.org/officeDocument/2006/relationships" name="YouTube投稿計画" sheetId="12" state="visible" r:id="rId12"/>
    <sheet xmlns:r="http://schemas.openxmlformats.org/officeDocument/2006/relationships" name="YouTube動画トンマナ" sheetId="13" state="visible" r:id="rId13"/>
    <sheet xmlns:r="http://schemas.openxmlformats.org/officeDocument/2006/relationships" name="動画企画マニュアル" sheetId="14" state="visible" r:id="rId14"/>
    <sheet xmlns:r="http://schemas.openxmlformats.org/officeDocument/2006/relationships" name="営業提案フロー" sheetId="15" state="visible" r:id="rId15"/>
    <sheet xmlns:r="http://schemas.openxmlformats.org/officeDocument/2006/relationships" name="ペルソナカード" sheetId="16" state="visible" r:id="rId16"/>
    <sheet xmlns:r="http://schemas.openxmlformats.org/officeDocument/2006/relationships" name="月次P_L" sheetId="17" state="visible" r:id="rId17"/>
    <sheet xmlns:r="http://schemas.openxmlformats.org/officeDocument/2006/relationships" name="週次KPIレポート" sheetId="18" state="visible" r:id="rId18"/>
    <sheet xmlns:r="http://schemas.openxmlformats.org/officeDocument/2006/relationships" name="コンテンツカレンダー" sheetId="19" state="visible" r:id="rId19"/>
    <sheet xmlns:r="http://schemas.openxmlformats.org/officeDocument/2006/relationships" name="YouTube概要欄テンプレート" sheetId="20" state="visible" r:id="rId20"/>
    <sheet xmlns:r="http://schemas.openxmlformats.org/officeDocument/2006/relationships" name="月次レビュー" sheetId="21" state="visible" r:id="rId21"/>
    <sheet xmlns:r="http://schemas.openxmlformats.org/officeDocument/2006/relationships" name="データ活用ロードマップ" sheetId="22" state="visible" r:id="rId22"/>
    <sheet xmlns:r="http://schemas.openxmlformats.org/officeDocument/2006/relationships" name="請求テンプレート" sheetId="23" state="visible" r:id="rId23"/>
    <sheet xmlns:r="http://schemas.openxmlformats.org/officeDocument/2006/relationships" name="比較コンテンツ構成案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E8740C"/>
      <sz val="14"/>
    </font>
    <font>
      <name val="Arial"/>
      <sz val="9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sz val="10"/>
    </font>
    <font>
      <name val="Arial"/>
      <b val="1"/>
      <color rgb="00CC0000"/>
      <sz val="9"/>
    </font>
    <font>
      <name val="Arial"/>
      <b val="1"/>
      <sz val="18"/>
    </font>
  </fonts>
  <fills count="14">
    <fill>
      <patternFill/>
    </fill>
    <fill>
      <patternFill patternType="gray125"/>
    </fill>
    <fill>
      <patternFill patternType="solid">
        <fgColor rgb="00E8740C"/>
      </patternFill>
    </fill>
    <fill>
      <patternFill patternType="solid">
        <fgColor rgb="003D2200"/>
      </patternFill>
    </fill>
    <fill>
      <patternFill patternType="solid">
        <fgColor rgb="00FFE0B2"/>
      </patternFill>
    </fill>
    <fill>
      <patternFill patternType="solid">
        <fgColor rgb="00EEEEEE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E1BEE7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FFF2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horizontal="center" vertical="top" wrapText="1"/>
    </xf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0" borderId="1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5" fillId="0" borderId="0" pivotButton="0" quotePrefix="0" xfId="0"/>
    <xf numFmtId="0" fontId="5" fillId="9" borderId="1" pivotButton="0" quotePrefix="0" xfId="0"/>
    <xf numFmtId="0" fontId="5" fillId="7" borderId="1" pivotButton="0" quotePrefix="0" xfId="0"/>
    <xf numFmtId="0" fontId="5" fillId="4" borderId="1" pivotButton="0" quotePrefix="0" xfId="0"/>
    <xf numFmtId="0" fontId="5" fillId="11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740C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8" customWidth="1" min="4" max="4"/>
    <col width="8" customWidth="1" min="5" max="5"/>
    <col width="10" customWidth="1" min="6" max="6"/>
    <col width="15" customWidth="1" min="7" max="7"/>
    <col width="15" customWidth="1" min="8" max="8"/>
  </cols>
  <sheetData>
    <row r="1">
      <c r="A1" s="1" t="inlineStr">
        <is>
          <t>ぺいほーむ 事業推進管理シート</t>
        </is>
      </c>
    </row>
    <row r="2">
      <c r="A2" s="2" t="inlineStr">
        <is>
          <t>最終更新: 2026-03-22</t>
        </is>
      </c>
    </row>
    <row r="4">
      <c r="A4" s="3" t="inlineStr">
        <is>
          <t>進捗サマリー</t>
        </is>
      </c>
    </row>
    <row r="5">
      <c r="A5" s="4" t="inlineStr">
        <is>
          <t>カテゴリ</t>
        </is>
      </c>
      <c r="B5" s="4" t="inlineStr">
        <is>
          <t>全タスク数</t>
        </is>
      </c>
      <c r="C5" s="4" t="inlineStr">
        <is>
          <t>完了</t>
        </is>
      </c>
      <c r="D5" s="4" t="inlineStr">
        <is>
          <t>進行中</t>
        </is>
      </c>
      <c r="E5" s="4" t="inlineStr">
        <is>
          <t>未着手</t>
        </is>
      </c>
      <c r="F5" s="4" t="inlineStr">
        <is>
          <t>完了率</t>
        </is>
      </c>
      <c r="G5" s="4" t="inlineStr">
        <is>
          <t>担当</t>
        </is>
      </c>
    </row>
    <row r="6">
      <c r="A6" s="5" t="inlineStr">
        <is>
          <t>事業戦略・収益化</t>
        </is>
      </c>
      <c r="B6" s="5">
        <f>COUNTIF('Todo詳細'!B:B,"収益")+COUNTIF('Todo詳細'!B:B,"戦略")</f>
        <v/>
      </c>
      <c r="C6" s="5">
        <f>COUNTIFS('Todo詳細'!B:B,"収益",'Todo詳細'!K:K,"完了")+COUNTIFS('Todo詳細'!B:B,"戦略",'Todo詳細'!K:K,"完了")</f>
        <v/>
      </c>
      <c r="D6" s="5">
        <f>COUNTIFS('Todo詳細'!B:B,"収益",'Todo詳細'!K:K,"進行中")+COUNTIFS('Todo詳細'!B:B,"戦略",'Todo詳細'!K:K,"進行中")</f>
        <v/>
      </c>
      <c r="E6" s="5">
        <f>COUNTIFS('Todo詳細'!B:B,"収益",'Todo詳細'!K:K,"未着手")+COUNTIFS('Todo詳細'!B:B,"戦略",'Todo詳細'!K:K,"未着手")</f>
        <v/>
      </c>
      <c r="F6" s="6">
        <f>IF(B6=0,"-",C6/B6)</f>
        <v/>
      </c>
      <c r="G6" s="5" t="inlineStr">
        <is>
          <t>経営</t>
        </is>
      </c>
    </row>
    <row r="7">
      <c r="A7" s="5" t="inlineStr">
        <is>
          <t>営業・アライアンス</t>
        </is>
      </c>
      <c r="B7" s="5">
        <f>COUNTIF('Todo詳細'!B:B,"営業")</f>
        <v/>
      </c>
      <c r="C7" s="5">
        <f>COUNTIFS('Todo詳細'!B:B,"営業",'Todo詳細'!K:K,"完了")</f>
        <v/>
      </c>
      <c r="D7" s="5">
        <f>COUNTIFS('Todo詳細'!B:B,"営業",'Todo詳細'!K:K,"進行中")</f>
        <v/>
      </c>
      <c r="E7" s="5">
        <f>COUNTIFS('Todo詳細'!B:B,"営業",'Todo詳細'!K:K,"未着手")</f>
        <v/>
      </c>
      <c r="F7" s="6">
        <f>IF(B7=0,"-",C7/B7)</f>
        <v/>
      </c>
      <c r="G7" s="5" t="inlineStr">
        <is>
          <t>経営/営業</t>
        </is>
      </c>
    </row>
    <row r="8">
      <c r="A8" s="5" t="inlineStr">
        <is>
          <t>掲載品質・リライト</t>
        </is>
      </c>
      <c r="B8" s="5">
        <f>COUNTIF('Todo詳細'!B:B,"品質")</f>
        <v/>
      </c>
      <c r="C8" s="5">
        <f>COUNTIFS('Todo詳細'!B:B,"品質",'Todo詳細'!K:K,"完了")</f>
        <v/>
      </c>
      <c r="D8" s="5">
        <f>COUNTIFS('Todo詳細'!B:B,"品質",'Todo詳細'!K:K,"進行中")</f>
        <v/>
      </c>
      <c r="E8" s="5">
        <f>COUNTIFS('Todo詳細'!B:B,"品質",'Todo詳細'!K:K,"未着手")</f>
        <v/>
      </c>
      <c r="F8" s="6">
        <f>IF(B8=0,"-",C8/B8)</f>
        <v/>
      </c>
      <c r="G8" s="5" t="inlineStr">
        <is>
          <t>コンテンツ</t>
        </is>
      </c>
    </row>
    <row r="9">
      <c r="A9" s="5" t="inlineStr">
        <is>
          <t>集客・マーケティング</t>
        </is>
      </c>
      <c r="B9" s="5">
        <f>COUNTIF('Todo詳細'!B:B,"集客")</f>
        <v/>
      </c>
      <c r="C9" s="5">
        <f>COUNTIFS('Todo詳細'!B:B,"集客",'Todo詳細'!K:K,"完了")</f>
        <v/>
      </c>
      <c r="D9" s="5">
        <f>COUNTIFS('Todo詳細'!B:B,"集客",'Todo詳細'!K:K,"進行中")</f>
        <v/>
      </c>
      <c r="E9" s="5">
        <f>COUNTIFS('Todo詳細'!B:B,"集客",'Todo詳細'!K:K,"未着手")</f>
        <v/>
      </c>
      <c r="F9" s="6">
        <f>IF(B9=0,"-",C9/B9)</f>
        <v/>
      </c>
      <c r="G9" s="5" t="inlineStr">
        <is>
          <t>マーケ</t>
        </is>
      </c>
    </row>
    <row r="10">
      <c r="A10" s="5" t="inlineStr">
        <is>
          <t>オペレーション</t>
        </is>
      </c>
      <c r="B10" s="5">
        <f>COUNTIF('Todo詳細'!B:B,"オペ")</f>
        <v/>
      </c>
      <c r="C10" s="5">
        <f>COUNTIFS('Todo詳細'!B:B,"オペ",'Todo詳細'!K:K,"完了")</f>
        <v/>
      </c>
      <c r="D10" s="5">
        <f>COUNTIFS('Todo詳細'!B:B,"オペ",'Todo詳細'!K:K,"進行中")</f>
        <v/>
      </c>
      <c r="E10" s="5">
        <f>COUNTIFS('Todo詳細'!B:B,"オペ",'Todo詳細'!K:K,"未着手")</f>
        <v/>
      </c>
      <c r="F10" s="6">
        <f>IF(B10=0,"-",C10/B10)</f>
        <v/>
      </c>
      <c r="G10" s="5" t="inlineStr">
        <is>
          <t>CS/経営</t>
        </is>
      </c>
    </row>
    <row r="11">
      <c r="A11" s="5" t="inlineStr">
        <is>
          <t>KPI・計測</t>
        </is>
      </c>
      <c r="B11" s="5">
        <f>COUNTIF('Todo詳細'!B:B,"計測")+COUNTIF('Todo詳細'!B:B,"データ")+COUNTIF('Todo詳細'!B:B,"CV")</f>
        <v/>
      </c>
      <c r="C11" s="5">
        <f>COUNTIFS('Todo詳細'!B:B,"計測",'Todo詳細'!K:K,"完了")+COUNTIFS('Todo詳細'!B:B,"データ",'Todo詳細'!K:K,"完了")+COUNTIFS('Todo詳細'!B:B,"CV",'Todo詳細'!K:K,"完了")</f>
        <v/>
      </c>
      <c r="D11" s="5">
        <f>COUNTIFS('Todo詳細'!B:B,"計測",'Todo詳細'!K:K,"進行中")+COUNTIFS('Todo詳細'!B:B,"データ",'Todo詳細'!K:K,"進行中")+COUNTIFS('Todo詳細'!B:B,"CV",'Todo詳細'!K:K,"進行中")</f>
        <v/>
      </c>
      <c r="E11" s="5">
        <f>COUNTIFS('Todo詳細'!B:B,"計測",'Todo詳細'!K:K,"未着手")+COUNTIFS('Todo詳細'!B:B,"データ",'Todo詳細'!K:K,"未着手")+COUNTIFS('Todo詳細'!B:B,"CV",'Todo詳細'!K:K,"未着手")</f>
        <v/>
      </c>
      <c r="F11" s="6">
        <f>IF(B11=0,"-",C11/B11)</f>
        <v/>
      </c>
      <c r="G11" s="5" t="inlineStr">
        <is>
          <t>PM</t>
        </is>
      </c>
    </row>
    <row r="12">
      <c r="A12" s="5" t="inlineStr">
        <is>
          <t>コンテンツ制作</t>
        </is>
      </c>
      <c r="B12" s="5">
        <f>COUNTIF('Todo詳細'!B:B,"コンテンツ")</f>
        <v/>
      </c>
      <c r="C12" s="5">
        <f>COUNTIFS('Todo詳細'!B:B,"コンテンツ",'Todo詳細'!K:K,"完了")</f>
        <v/>
      </c>
      <c r="D12" s="5">
        <f>COUNTIFS('Todo詳細'!B:B,"コンテンツ",'Todo詳細'!K:K,"進行中")</f>
        <v/>
      </c>
      <c r="E12" s="5">
        <f>COUNTIFS('Todo詳細'!B:B,"コンテンツ",'Todo詳細'!K:K,"未着手")</f>
        <v/>
      </c>
      <c r="F12" s="6">
        <f>IF(B12=0,"-",C12/B12)</f>
        <v/>
      </c>
      <c r="G12" s="5" t="inlineStr">
        <is>
          <t>コンテンツ</t>
        </is>
      </c>
    </row>
    <row r="13">
      <c r="A13" s="7" t="inlineStr">
        <is>
          <t>合計</t>
        </is>
      </c>
      <c r="B13" s="7">
        <f>SUM(B6:B12)</f>
        <v/>
      </c>
      <c r="C13" s="7">
        <f>SUM(C6:C12)</f>
        <v/>
      </c>
      <c r="D13" s="7">
        <f>SUM(D6:D12)</f>
        <v/>
      </c>
      <c r="E13" s="7">
        <f>SUM(E6:E12)</f>
        <v/>
      </c>
      <c r="F13" s="8">
        <f>IF(B13=0,"-",C13/B13)</f>
        <v/>
      </c>
      <c r="G13" s="7" t="inlineStr">
        <is>
          <t>-</t>
        </is>
      </c>
    </row>
    <row r="15">
      <c r="A15" s="3" t="inlineStr">
        <is>
          <t>直近マイルストーン</t>
        </is>
      </c>
    </row>
    <row r="16">
      <c r="A16" s="4" t="inlineStr">
        <is>
          <t>マイルストーン</t>
        </is>
      </c>
      <c r="B16" s="4" t="inlineStr">
        <is>
          <t>目標日</t>
        </is>
      </c>
      <c r="C16" s="4" t="inlineStr">
        <is>
          <t>状態</t>
        </is>
      </c>
      <c r="D16" s="4" t="inlineStr">
        <is>
          <t>担当</t>
        </is>
      </c>
      <c r="E16" s="4" t="inlineStr">
        <is>
          <t>備考</t>
        </is>
      </c>
    </row>
    <row r="17">
      <c r="A17" s="5" t="inlineStr">
        <is>
          <t>営業提案書 完成</t>
        </is>
      </c>
      <c r="B17" s="5" t="inlineStr">
        <is>
          <t>2026-04-01</t>
        </is>
      </c>
      <c r="C17" s="5" t="inlineStr">
        <is>
          <t>未着手</t>
        </is>
      </c>
      <c r="D17" s="5" t="inlineStr">
        <is>
          <t>経営</t>
        </is>
      </c>
      <c r="E17" s="5" t="inlineStr"/>
    </row>
    <row r="18">
      <c r="A18" s="5" t="inlineStr">
        <is>
          <t>GA4計測 稼働開始</t>
        </is>
      </c>
      <c r="B18" s="5" t="inlineStr">
        <is>
          <t>2026-04-01</t>
        </is>
      </c>
      <c r="C18" s="5" t="inlineStr">
        <is>
          <t>未着手</t>
        </is>
      </c>
      <c r="D18" s="5" t="inlineStr">
        <is>
          <t>PM/エンジニア</t>
        </is>
      </c>
      <c r="E18" s="5" t="inlineStr"/>
    </row>
    <row r="19">
      <c r="A19" s="5" t="inlineStr">
        <is>
          <t>初期パートナー1社 獲得</t>
        </is>
      </c>
      <c r="B19" s="5" t="inlineStr">
        <is>
          <t>2026-04-15</t>
        </is>
      </c>
      <c r="C19" s="5" t="inlineStr">
        <is>
          <t>未着手</t>
        </is>
      </c>
      <c r="D19" s="5" t="inlineStr">
        <is>
          <t>経営/営業</t>
        </is>
      </c>
      <c r="E19" s="5" t="inlineStr">
        <is>
          <t>最重要</t>
        </is>
      </c>
    </row>
    <row r="20">
      <c r="A20" s="5" t="inlineStr">
        <is>
          <t>掲載品質監査 完了</t>
        </is>
      </c>
      <c r="B20" s="5" t="inlineStr">
        <is>
          <t>2026-04-07</t>
        </is>
      </c>
      <c r="C20" s="5" t="inlineStr">
        <is>
          <t>未着手</t>
        </is>
      </c>
      <c r="D20" s="5" t="inlineStr">
        <is>
          <t>コンテンツ</t>
        </is>
      </c>
      <c r="E20" s="5" t="inlineStr"/>
    </row>
    <row r="21">
      <c r="A21" s="5" t="inlineStr">
        <is>
          <t>週次KPIレポート 開始</t>
        </is>
      </c>
      <c r="B21" s="5" t="inlineStr">
        <is>
          <t>2026-04-07</t>
        </is>
      </c>
      <c r="C21" s="5" t="inlineStr">
        <is>
          <t>未着手</t>
        </is>
      </c>
      <c r="D21" s="5" t="inlineStr">
        <is>
          <t>PM</t>
        </is>
      </c>
      <c r="E21" s="5" t="inlineStr"/>
    </row>
    <row r="22">
      <c r="A22" s="5" t="inlineStr">
        <is>
          <t>パートナー3社 達成</t>
        </is>
      </c>
      <c r="B22" s="5" t="inlineStr">
        <is>
          <t>2026-05-15</t>
        </is>
      </c>
      <c r="C22" s="5" t="inlineStr">
        <is>
          <t>未着手</t>
        </is>
      </c>
      <c r="D22" s="5" t="inlineStr">
        <is>
          <t>営業</t>
        </is>
      </c>
      <c r="E22" s="5" t="inlineStr"/>
    </row>
    <row r="23">
      <c r="A23" s="5" t="inlineStr">
        <is>
          <t>月次売上 発生</t>
        </is>
      </c>
      <c r="B23" s="5" t="inlineStr">
        <is>
          <t>2026-06-15</t>
        </is>
      </c>
      <c r="C23" s="5" t="inlineStr">
        <is>
          <t>未着手</t>
        </is>
      </c>
      <c r="D23" s="5" t="inlineStr">
        <is>
          <t>経営</t>
        </is>
      </c>
      <c r="E23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V44"/>
  <sheetViews>
    <sheetView workbookViewId="0">
      <pane xSplit="9" ySplit="1" topLeftCell="J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30" customWidth="1" min="4" max="4"/>
    <col width="7" customWidth="1" min="5" max="5"/>
    <col width="7" customWidth="1" min="6" max="6"/>
    <col width="5" customWidth="1" min="7" max="7"/>
    <col width="8" customWidth="1" min="8" max="8"/>
    <col width="6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>
      <c r="A1" s="4" t="inlineStr">
        <is>
          <t>ID</t>
        </is>
      </c>
      <c r="B1" s="4" t="inlineStr">
        <is>
          <t>担当</t>
        </is>
      </c>
      <c r="C1" s="4" t="inlineStr">
        <is>
          <t>カテゴリ</t>
        </is>
      </c>
      <c r="D1" s="4" t="inlineStr">
        <is>
          <t>タスク名</t>
        </is>
      </c>
      <c r="E1" s="4" t="inlineStr">
        <is>
          <t>開始日</t>
        </is>
      </c>
      <c r="F1" s="4" t="inlineStr">
        <is>
          <t>終了日</t>
        </is>
      </c>
      <c r="G1" s="4" t="inlineStr">
        <is>
          <t>日数</t>
        </is>
      </c>
      <c r="H1" s="4" t="inlineStr">
        <is>
          <t>ステータス</t>
        </is>
      </c>
      <c r="I1" s="4" t="inlineStr">
        <is>
          <t>進捗%</t>
        </is>
      </c>
      <c r="J1" s="4" t="inlineStr">
        <is>
          <t>W1
03/24</t>
        </is>
      </c>
      <c r="K1" s="4" t="inlineStr">
        <is>
          <t>W2
03/31</t>
        </is>
      </c>
      <c r="L1" s="4" t="inlineStr">
        <is>
          <t>W3
04/07</t>
        </is>
      </c>
      <c r="M1" s="4" t="inlineStr">
        <is>
          <t>W4
04/14</t>
        </is>
      </c>
      <c r="N1" s="4" t="inlineStr">
        <is>
          <t>W5
04/21</t>
        </is>
      </c>
      <c r="O1" s="4" t="inlineStr">
        <is>
          <t>W6
04/28</t>
        </is>
      </c>
      <c r="P1" s="4" t="inlineStr">
        <is>
          <t>W7
05/05</t>
        </is>
      </c>
      <c r="Q1" s="4" t="inlineStr">
        <is>
          <t>W8
05/12</t>
        </is>
      </c>
      <c r="R1" s="4" t="inlineStr">
        <is>
          <t>W9
05/19</t>
        </is>
      </c>
      <c r="S1" s="4" t="inlineStr">
        <is>
          <t>W10
05/26</t>
        </is>
      </c>
      <c r="T1" s="4" t="inlineStr">
        <is>
          <t>W11
06/02</t>
        </is>
      </c>
      <c r="U1" s="4" t="inlineStr">
        <is>
          <t>W12
06/09</t>
        </is>
      </c>
    </row>
    <row r="2">
      <c r="A2" s="9" t="inlineStr">
        <is>
          <t>【Month 1: 基盤固め・営業開始】</t>
        </is>
      </c>
    </row>
    <row r="3">
      <c r="A3" s="5" t="inlineStr">
        <is>
          <t>T-06</t>
        </is>
      </c>
      <c r="B3" s="11" t="inlineStr">
        <is>
          <t>経営</t>
        </is>
      </c>
      <c r="C3" s="5" t="inlineStr">
        <is>
          <t>戦略</t>
        </is>
      </c>
      <c r="D3" s="5" t="inlineStr">
        <is>
          <t>エレベーターピッチ作成</t>
        </is>
      </c>
      <c r="E3" s="5" t="inlineStr">
        <is>
          <t>03/24</t>
        </is>
      </c>
      <c r="F3" s="5" t="inlineStr">
        <is>
          <t>03/28</t>
        </is>
      </c>
      <c r="G3" s="5" t="n">
        <v>5</v>
      </c>
      <c r="H3" s="12" t="inlineStr">
        <is>
          <t>未着手</t>
        </is>
      </c>
      <c r="I3" s="6" t="n">
        <v>0</v>
      </c>
      <c r="J3" s="13" t="inlineStr"/>
      <c r="K3" s="14" t="inlineStr"/>
      <c r="L3" s="14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5" t="inlineStr"/>
    </row>
    <row r="4">
      <c r="A4" s="5" t="inlineStr">
        <is>
          <t>T-07</t>
        </is>
      </c>
      <c r="B4" s="11" t="inlineStr">
        <is>
          <t>経営</t>
        </is>
      </c>
      <c r="C4" s="5" t="inlineStr">
        <is>
          <t>営業</t>
        </is>
      </c>
      <c r="D4" s="5" t="inlineStr">
        <is>
          <t>営業提案書 初稿作成</t>
        </is>
      </c>
      <c r="E4" s="5" t="inlineStr">
        <is>
          <t>03/24</t>
        </is>
      </c>
      <c r="F4" s="5" t="inlineStr">
        <is>
          <t>04/04</t>
        </is>
      </c>
      <c r="G4" s="5" t="n">
        <v>10</v>
      </c>
      <c r="H4" s="12" t="inlineStr">
        <is>
          <t>未着手</t>
        </is>
      </c>
      <c r="I4" s="6" t="n">
        <v>0</v>
      </c>
      <c r="J4" s="13" t="inlineStr"/>
      <c r="K4" s="13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5" t="inlineStr"/>
    </row>
    <row r="5">
      <c r="A5" s="5" t="inlineStr">
        <is>
          <t>T-25</t>
        </is>
      </c>
      <c r="B5" s="15" t="inlineStr">
        <is>
          <t>コンテンツ</t>
        </is>
      </c>
      <c r="C5" s="5" t="inlineStr">
        <is>
          <t>品質</t>
        </is>
      </c>
      <c r="D5" s="5" t="inlineStr">
        <is>
          <t>掲載基準・フォーマット策定</t>
        </is>
      </c>
      <c r="E5" s="5" t="inlineStr">
        <is>
          <t>03/24</t>
        </is>
      </c>
      <c r="F5" s="5" t="inlineStr">
        <is>
          <t>03/31</t>
        </is>
      </c>
      <c r="G5" s="5" t="n">
        <v>7</v>
      </c>
      <c r="H5" s="12" t="inlineStr">
        <is>
          <t>未着手</t>
        </is>
      </c>
      <c r="I5" s="6" t="n">
        <v>0</v>
      </c>
      <c r="J5" s="13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5" t="inlineStr"/>
    </row>
    <row r="6">
      <c r="A6" s="5" t="inlineStr">
        <is>
          <t>T-09</t>
        </is>
      </c>
      <c r="B6" s="16" t="inlineStr">
        <is>
          <t>PM</t>
        </is>
      </c>
      <c r="C6" s="5" t="inlineStr">
        <is>
          <t>計測</t>
        </is>
      </c>
      <c r="D6" s="5" t="inlineStr">
        <is>
          <t>GA4セットアップ</t>
        </is>
      </c>
      <c r="E6" s="5" t="inlineStr">
        <is>
          <t>03/24</t>
        </is>
      </c>
      <c r="F6" s="5" t="inlineStr">
        <is>
          <t>03/31</t>
        </is>
      </c>
      <c r="G6" s="5" t="n">
        <v>7</v>
      </c>
      <c r="H6" s="12" t="inlineStr">
        <is>
          <t>未着手</t>
        </is>
      </c>
      <c r="I6" s="6" t="n">
        <v>0</v>
      </c>
      <c r="J6" s="13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5" t="inlineStr"/>
    </row>
    <row r="7">
      <c r="A7" s="5" t="inlineStr">
        <is>
          <t>T-26</t>
        </is>
      </c>
      <c r="B7" s="15" t="inlineStr">
        <is>
          <t>コンテンツ</t>
        </is>
      </c>
      <c r="C7" s="5" t="inlineStr">
        <is>
          <t>品質</t>
        </is>
      </c>
      <c r="D7" s="5" t="inlineStr">
        <is>
          <t>全ページ文言監査</t>
        </is>
      </c>
      <c r="E7" s="5" t="inlineStr">
        <is>
          <t>03/24</t>
        </is>
      </c>
      <c r="F7" s="5" t="inlineStr">
        <is>
          <t>04/07</t>
        </is>
      </c>
      <c r="G7" s="5" t="n">
        <v>14</v>
      </c>
      <c r="H7" s="12" t="inlineStr">
        <is>
          <t>未着手</t>
        </is>
      </c>
      <c r="I7" s="6" t="n">
        <v>0</v>
      </c>
      <c r="J7" s="13" t="inlineStr"/>
      <c r="K7" s="13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5" t="inlineStr"/>
    </row>
    <row r="8">
      <c r="A8" s="5" t="inlineStr">
        <is>
          <t>T-32</t>
        </is>
      </c>
      <c r="B8" s="11" t="inlineStr">
        <is>
          <t>経営</t>
        </is>
      </c>
      <c r="C8" s="5" t="inlineStr">
        <is>
          <t>オペ</t>
        </is>
      </c>
      <c r="D8" s="5" t="inlineStr">
        <is>
          <t>問い合わせ対応フロー設計</t>
        </is>
      </c>
      <c r="E8" s="5" t="inlineStr">
        <is>
          <t>03/24</t>
        </is>
      </c>
      <c r="F8" s="5" t="inlineStr">
        <is>
          <t>04/04</t>
        </is>
      </c>
      <c r="G8" s="5" t="n">
        <v>10</v>
      </c>
      <c r="H8" s="12" t="inlineStr">
        <is>
          <t>未着手</t>
        </is>
      </c>
      <c r="I8" s="6" t="n">
        <v>0</v>
      </c>
      <c r="J8" s="13" t="inlineStr"/>
      <c r="K8" s="13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5" t="inlineStr"/>
    </row>
    <row r="9">
      <c r="A9" s="5" t="inlineStr">
        <is>
          <t>T-17</t>
        </is>
      </c>
      <c r="B9" s="11" t="inlineStr">
        <is>
          <t>経営</t>
        </is>
      </c>
      <c r="C9" s="5" t="inlineStr">
        <is>
          <t>営業</t>
        </is>
      </c>
      <c r="D9" s="5" t="inlineStr">
        <is>
          <t>営業提案フロー設計</t>
        </is>
      </c>
      <c r="E9" s="5" t="inlineStr">
        <is>
          <t>03/31</t>
        </is>
      </c>
      <c r="F9" s="5" t="inlineStr">
        <is>
          <t>04/07</t>
        </is>
      </c>
      <c r="G9" s="5" t="n">
        <v>7</v>
      </c>
      <c r="H9" s="12" t="inlineStr">
        <is>
          <t>未着手</t>
        </is>
      </c>
      <c r="I9" s="6" t="n">
        <v>0</v>
      </c>
      <c r="J9" s="14" t="inlineStr"/>
      <c r="K9" s="13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5" t="inlineStr"/>
    </row>
    <row r="10">
      <c r="A10" s="5" t="inlineStr">
        <is>
          <t>T-35</t>
        </is>
      </c>
      <c r="B10" s="11" t="inlineStr">
        <is>
          <t>経営</t>
        </is>
      </c>
      <c r="C10" s="5" t="inlineStr">
        <is>
          <t>収益</t>
        </is>
      </c>
      <c r="D10" s="5" t="inlineStr">
        <is>
          <t>料金プラン確定</t>
        </is>
      </c>
      <c r="E10" s="5" t="inlineStr">
        <is>
          <t>03/31</t>
        </is>
      </c>
      <c r="F10" s="5" t="inlineStr">
        <is>
          <t>04/07</t>
        </is>
      </c>
      <c r="G10" s="5" t="n">
        <v>7</v>
      </c>
      <c r="H10" s="12" t="inlineStr">
        <is>
          <t>未着手</t>
        </is>
      </c>
      <c r="I10" s="6" t="n">
        <v>0</v>
      </c>
      <c r="J10" s="14" t="inlineStr"/>
      <c r="K10" s="13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5" t="inlineStr"/>
    </row>
    <row r="11">
      <c r="A11" s="5" t="inlineStr">
        <is>
          <t>T-27</t>
        </is>
      </c>
      <c r="B11" s="15" t="inlineStr">
        <is>
          <t>コンテンツ</t>
        </is>
      </c>
      <c r="C11" s="5" t="inlineStr">
        <is>
          <t>品質</t>
        </is>
      </c>
      <c r="D11" s="5" t="inlineStr">
        <is>
          <t>再ヒアリング項目整理</t>
        </is>
      </c>
      <c r="E11" s="5" t="inlineStr">
        <is>
          <t>03/31</t>
        </is>
      </c>
      <c r="F11" s="5" t="inlineStr">
        <is>
          <t>04/07</t>
        </is>
      </c>
      <c r="G11" s="5" t="n">
        <v>7</v>
      </c>
      <c r="H11" s="12" t="inlineStr">
        <is>
          <t>未着手</t>
        </is>
      </c>
      <c r="I11" s="6" t="n">
        <v>0</v>
      </c>
      <c r="J11" s="14" t="inlineStr"/>
      <c r="K11" s="13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5" t="inlineStr"/>
    </row>
    <row r="12">
      <c r="A12" s="5" t="inlineStr">
        <is>
          <t>T-04</t>
        </is>
      </c>
      <c r="B12" s="11" t="inlineStr">
        <is>
          <t>経営</t>
        </is>
      </c>
      <c r="C12" s="5" t="inlineStr">
        <is>
          <t>戦略</t>
        </is>
      </c>
      <c r="D12" s="5" t="inlineStr">
        <is>
          <t>ペルソナ3パターン作成</t>
        </is>
      </c>
      <c r="E12" s="5" t="inlineStr">
        <is>
          <t>03/31</t>
        </is>
      </c>
      <c r="F12" s="5" t="inlineStr">
        <is>
          <t>04/07</t>
        </is>
      </c>
      <c r="G12" s="5" t="n">
        <v>7</v>
      </c>
      <c r="H12" s="12" t="inlineStr">
        <is>
          <t>未着手</t>
        </is>
      </c>
      <c r="I12" s="6" t="n">
        <v>0</v>
      </c>
      <c r="J12" s="14" t="inlineStr"/>
      <c r="K12" s="13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5" t="inlineStr"/>
    </row>
    <row r="13">
      <c r="A13" s="5" t="inlineStr">
        <is>
          <t>T-02</t>
        </is>
      </c>
      <c r="B13" s="16" t="inlineStr">
        <is>
          <t>PM</t>
        </is>
      </c>
      <c r="C13" s="5" t="inlineStr">
        <is>
          <t>計測</t>
        </is>
      </c>
      <c r="D13" s="5" t="inlineStr">
        <is>
          <t>KPI定義・計測開始</t>
        </is>
      </c>
      <c r="E13" s="5" t="inlineStr">
        <is>
          <t>03/31</t>
        </is>
      </c>
      <c r="F13" s="5" t="inlineStr">
        <is>
          <t>04/07</t>
        </is>
      </c>
      <c r="G13" s="5" t="n">
        <v>7</v>
      </c>
      <c r="H13" s="12" t="inlineStr">
        <is>
          <t>未着手</t>
        </is>
      </c>
      <c r="I13" s="6" t="n">
        <v>0</v>
      </c>
      <c r="J13" s="14" t="inlineStr"/>
      <c r="K13" s="13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5" t="inlineStr"/>
    </row>
    <row r="14">
      <c r="A14" s="5" t="inlineStr">
        <is>
          <t>T-40</t>
        </is>
      </c>
      <c r="B14" s="11" t="inlineStr">
        <is>
          <t>経営</t>
        </is>
      </c>
      <c r="C14" s="5" t="inlineStr">
        <is>
          <t>戦略</t>
        </is>
      </c>
      <c r="D14" s="5" t="inlineStr">
        <is>
          <t>四半期マイルストーン設定</t>
        </is>
      </c>
      <c r="E14" s="5" t="inlineStr">
        <is>
          <t>03/31</t>
        </is>
      </c>
      <c r="F14" s="5" t="inlineStr">
        <is>
          <t>04/07</t>
        </is>
      </c>
      <c r="G14" s="5" t="n">
        <v>7</v>
      </c>
      <c r="H14" s="12" t="inlineStr">
        <is>
          <t>未着手</t>
        </is>
      </c>
      <c r="I14" s="6" t="n">
        <v>0</v>
      </c>
      <c r="J14" s="14" t="inlineStr"/>
      <c r="K14" s="13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5" t="inlineStr"/>
    </row>
    <row r="15">
      <c r="A15" s="5" t="inlineStr">
        <is>
          <t>T-19</t>
        </is>
      </c>
      <c r="B15" s="11" t="inlineStr">
        <is>
          <t>経営</t>
        </is>
      </c>
      <c r="C15" s="5" t="inlineStr">
        <is>
          <t>営業</t>
        </is>
      </c>
      <c r="D15" s="5" t="inlineStr">
        <is>
          <t>既存取材先への提案</t>
        </is>
      </c>
      <c r="E15" s="5" t="inlineStr">
        <is>
          <t>04/07</t>
        </is>
      </c>
      <c r="F15" s="5" t="inlineStr">
        <is>
          <t>04/18</t>
        </is>
      </c>
      <c r="G15" s="5" t="n">
        <v>10</v>
      </c>
      <c r="H15" s="12" t="inlineStr">
        <is>
          <t>未着手</t>
        </is>
      </c>
      <c r="I15" s="6" t="n">
        <v>0</v>
      </c>
      <c r="J15" s="14" t="inlineStr"/>
      <c r="K15" s="14" t="inlineStr"/>
      <c r="L15" s="13" t="inlineStr"/>
      <c r="M15" s="13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5" t="inlineStr"/>
    </row>
    <row r="16">
      <c r="A16" s="5" t="inlineStr">
        <is>
          <t>T-18</t>
        </is>
      </c>
      <c r="B16" s="11" t="inlineStr">
        <is>
          <t>経営</t>
        </is>
      </c>
      <c r="C16" s="5" t="inlineStr">
        <is>
          <t>営業</t>
        </is>
      </c>
      <c r="D16" s="5" t="inlineStr">
        <is>
          <t>契約書テンプレート作成</t>
        </is>
      </c>
      <c r="E16" s="5" t="inlineStr">
        <is>
          <t>04/07</t>
        </is>
      </c>
      <c r="F16" s="5" t="inlineStr">
        <is>
          <t>04/14</t>
        </is>
      </c>
      <c r="G16" s="5" t="n">
        <v>7</v>
      </c>
      <c r="H16" s="12" t="inlineStr">
        <is>
          <t>未着手</t>
        </is>
      </c>
      <c r="I16" s="6" t="n">
        <v>0</v>
      </c>
      <c r="J16" s="14" t="inlineStr"/>
      <c r="K16" s="14" t="inlineStr"/>
      <c r="L16" s="13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</row>
    <row r="17">
      <c r="A17" s="5" t="inlineStr">
        <is>
          <t>T-21</t>
        </is>
      </c>
      <c r="B17" s="15" t="inlineStr">
        <is>
          <t>コンテンツ</t>
        </is>
      </c>
      <c r="C17" s="5" t="inlineStr">
        <is>
          <t>品質</t>
        </is>
      </c>
      <c r="D17" s="5" t="inlineStr">
        <is>
          <t>取材記事の実名化交渉</t>
        </is>
      </c>
      <c r="E17" s="5" t="inlineStr">
        <is>
          <t>04/07</t>
        </is>
      </c>
      <c r="F17" s="5" t="inlineStr">
        <is>
          <t>04/18</t>
        </is>
      </c>
      <c r="G17" s="5" t="n">
        <v>10</v>
      </c>
      <c r="H17" s="12" t="inlineStr">
        <is>
          <t>未着手</t>
        </is>
      </c>
      <c r="I17" s="6" t="n">
        <v>0</v>
      </c>
      <c r="J17" s="14" t="inlineStr"/>
      <c r="K17" s="14" t="inlineStr"/>
      <c r="L17" s="13" t="inlineStr"/>
      <c r="M17" s="13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5" t="inlineStr"/>
    </row>
    <row r="18">
      <c r="A18" s="5" t="inlineStr">
        <is>
          <t>T-28</t>
        </is>
      </c>
      <c r="B18" s="17" t="inlineStr">
        <is>
          <t>営業</t>
        </is>
      </c>
      <c r="C18" s="5" t="inlineStr">
        <is>
          <t>品質</t>
        </is>
      </c>
      <c r="D18" s="5" t="inlineStr">
        <is>
          <t>工務店再ヒアリング(1-3社)</t>
        </is>
      </c>
      <c r="E18" s="5" t="inlineStr">
        <is>
          <t>04/07</t>
        </is>
      </c>
      <c r="F18" s="5" t="inlineStr">
        <is>
          <t>04/21</t>
        </is>
      </c>
      <c r="G18" s="5" t="n">
        <v>14</v>
      </c>
      <c r="H18" s="12" t="inlineStr">
        <is>
          <t>未着手</t>
        </is>
      </c>
      <c r="I18" s="6" t="n">
        <v>0</v>
      </c>
      <c r="J18" s="14" t="inlineStr"/>
      <c r="K18" s="14" t="inlineStr"/>
      <c r="L18" s="13" t="inlineStr"/>
      <c r="M18" s="13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5" t="inlineStr"/>
    </row>
    <row r="19">
      <c r="A19" s="5" t="inlineStr">
        <is>
          <t>T-10</t>
        </is>
      </c>
      <c r="B19" s="18" t="inlineStr">
        <is>
          <t>マーケ</t>
        </is>
      </c>
      <c r="C19" s="5" t="inlineStr">
        <is>
          <t>集客</t>
        </is>
      </c>
      <c r="D19" s="5" t="inlineStr">
        <is>
          <t>YouTube概要欄CTA最適化</t>
        </is>
      </c>
      <c r="E19" s="5" t="inlineStr">
        <is>
          <t>04/07</t>
        </is>
      </c>
      <c r="F19" s="5" t="inlineStr">
        <is>
          <t>04/14</t>
        </is>
      </c>
      <c r="G19" s="5" t="n">
        <v>7</v>
      </c>
      <c r="H19" s="12" t="inlineStr">
        <is>
          <t>未着手</t>
        </is>
      </c>
      <c r="I19" s="6" t="n">
        <v>0</v>
      </c>
      <c r="J19" s="14" t="inlineStr"/>
      <c r="K19" s="14" t="inlineStr"/>
      <c r="L19" s="13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</row>
    <row r="20">
      <c r="A20" s="5" t="inlineStr">
        <is>
          <t>T-36</t>
        </is>
      </c>
      <c r="B20" s="11" t="inlineStr">
        <is>
          <t>経営</t>
        </is>
      </c>
      <c r="C20" s="5" t="inlineStr">
        <is>
          <t>収益</t>
        </is>
      </c>
      <c r="D20" s="5" t="inlineStr">
        <is>
          <t>初期パートナー1社獲得</t>
        </is>
      </c>
      <c r="E20" s="5" t="inlineStr">
        <is>
          <t>04/14</t>
        </is>
      </c>
      <c r="F20" s="5" t="inlineStr">
        <is>
          <t>04/25</t>
        </is>
      </c>
      <c r="G20" s="5" t="n">
        <v>10</v>
      </c>
      <c r="H20" s="12" t="inlineStr">
        <is>
          <t>未着手</t>
        </is>
      </c>
      <c r="I20" s="6" t="n">
        <v>0</v>
      </c>
      <c r="J20" s="14" t="inlineStr"/>
      <c r="K20" s="14" t="inlineStr"/>
      <c r="L20" s="14" t="inlineStr"/>
      <c r="M20" s="13" t="inlineStr"/>
      <c r="N20" s="13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</row>
    <row r="21">
      <c r="A21" s="5" t="inlineStr">
        <is>
          <t>T-29</t>
        </is>
      </c>
      <c r="B21" s="15" t="inlineStr">
        <is>
          <t>コンテンツ</t>
        </is>
      </c>
      <c r="C21" s="5" t="inlineStr">
        <is>
          <t>品質</t>
        </is>
      </c>
      <c r="D21" s="5" t="inlineStr">
        <is>
          <t>リライト実施(優先5件)</t>
        </is>
      </c>
      <c r="E21" s="5" t="inlineStr">
        <is>
          <t>04/14</t>
        </is>
      </c>
      <c r="F21" s="5" t="inlineStr">
        <is>
          <t>04/25</t>
        </is>
      </c>
      <c r="G21" s="5" t="n">
        <v>10</v>
      </c>
      <c r="H21" s="12" t="inlineStr">
        <is>
          <t>未着手</t>
        </is>
      </c>
      <c r="I21" s="6" t="n">
        <v>0</v>
      </c>
      <c r="J21" s="14" t="inlineStr"/>
      <c r="K21" s="14" t="inlineStr"/>
      <c r="L21" s="14" t="inlineStr"/>
      <c r="M21" s="13" t="inlineStr"/>
      <c r="N21" s="13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</row>
    <row r="22">
      <c r="A22" s="5" t="inlineStr">
        <is>
          <t>T-33</t>
        </is>
      </c>
      <c r="B22" s="11" t="inlineStr">
        <is>
          <t>経営</t>
        </is>
      </c>
      <c r="C22" s="5" t="inlineStr">
        <is>
          <t>オペ</t>
        </is>
      </c>
      <c r="D22" s="5" t="inlineStr">
        <is>
          <t>反響受け渡しフロー設計</t>
        </is>
      </c>
      <c r="E22" s="5" t="inlineStr">
        <is>
          <t>04/14</t>
        </is>
      </c>
      <c r="F22" s="5" t="inlineStr">
        <is>
          <t>04/21</t>
        </is>
      </c>
      <c r="G22" s="5" t="n">
        <v>7</v>
      </c>
      <c r="H22" s="12" t="inlineStr">
        <is>
          <t>未着手</t>
        </is>
      </c>
      <c r="I22" s="6" t="n">
        <v>0</v>
      </c>
      <c r="J22" s="14" t="inlineStr"/>
      <c r="K22" s="14" t="inlineStr"/>
      <c r="L22" s="14" t="inlineStr"/>
      <c r="M22" s="13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</row>
    <row r="23">
      <c r="A23" s="5" t="inlineStr">
        <is>
          <t>T-38</t>
        </is>
      </c>
      <c r="B23" s="16" t="inlineStr">
        <is>
          <t>PM</t>
        </is>
      </c>
      <c r="C23" s="5" t="inlineStr">
        <is>
          <t>計測</t>
        </is>
      </c>
      <c r="D23" s="5" t="inlineStr">
        <is>
          <t>週次KPIレポート開始</t>
        </is>
      </c>
      <c r="E23" s="5" t="inlineStr">
        <is>
          <t>04/14</t>
        </is>
      </c>
      <c r="F23" s="5" t="inlineStr">
        <is>
          <t>04/21</t>
        </is>
      </c>
      <c r="G23" s="5" t="n">
        <v>7</v>
      </c>
      <c r="H23" s="12" t="inlineStr">
        <is>
          <t>未着手</t>
        </is>
      </c>
      <c r="I23" s="6" t="n">
        <v>0</v>
      </c>
      <c r="J23" s="14" t="inlineStr"/>
      <c r="K23" s="14" t="inlineStr"/>
      <c r="L23" s="14" t="inlineStr"/>
      <c r="M23" s="13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</row>
    <row r="24">
      <c r="A24" s="5" t="inlineStr">
        <is>
          <t>T-13</t>
        </is>
      </c>
      <c r="B24" s="16" t="inlineStr">
        <is>
          <t>PM</t>
        </is>
      </c>
      <c r="C24" s="5" t="inlineStr">
        <is>
          <t>計測</t>
        </is>
      </c>
      <c r="D24" s="5" t="inlineStr">
        <is>
          <t>CV率計測・分析開始</t>
        </is>
      </c>
      <c r="E24" s="5" t="inlineStr">
        <is>
          <t>04/14</t>
        </is>
      </c>
      <c r="F24" s="5" t="inlineStr">
        <is>
          <t>04/21</t>
        </is>
      </c>
      <c r="G24" s="5" t="n">
        <v>7</v>
      </c>
      <c r="H24" s="12" t="inlineStr">
        <is>
          <t>未着手</t>
        </is>
      </c>
      <c r="I24" s="6" t="n">
        <v>0</v>
      </c>
      <c r="J24" s="14" t="inlineStr"/>
      <c r="K24" s="14" t="inlineStr"/>
      <c r="L24" s="14" t="inlineStr"/>
      <c r="M24" s="13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</row>
    <row r="25">
      <c r="A25" s="9" t="inlineStr">
        <is>
          <t>【Month 2: 拡大準備・コンテンツ充実】</t>
        </is>
      </c>
    </row>
    <row r="26">
      <c r="A26" s="5" t="inlineStr">
        <is>
          <t>T-05</t>
        </is>
      </c>
      <c r="B26" s="17" t="inlineStr">
        <is>
          <t>営業</t>
        </is>
      </c>
      <c r="C26" s="5" t="inlineStr">
        <is>
          <t>戦略</t>
        </is>
      </c>
      <c r="D26" s="5" t="inlineStr">
        <is>
          <t>工務店ターゲットリスト作成</t>
        </is>
      </c>
      <c r="E26" s="5" t="inlineStr">
        <is>
          <t>04/21</t>
        </is>
      </c>
      <c r="F26" s="5" t="inlineStr">
        <is>
          <t>05/02</t>
        </is>
      </c>
      <c r="G26" s="5" t="n">
        <v>10</v>
      </c>
      <c r="H26" s="12" t="inlineStr">
        <is>
          <t>未着手</t>
        </is>
      </c>
      <c r="I26" s="6" t="n">
        <v>0</v>
      </c>
      <c r="J26" s="14" t="inlineStr"/>
      <c r="K26" s="14" t="inlineStr"/>
      <c r="L26" s="14" t="inlineStr"/>
      <c r="M26" s="14" t="inlineStr"/>
      <c r="N26" s="13" t="inlineStr"/>
      <c r="O26" s="13" t="inlineStr"/>
      <c r="P26" s="14" t="inlineStr"/>
      <c r="Q26" s="14" t="inlineStr"/>
      <c r="R26" s="14" t="inlineStr"/>
      <c r="S26" s="14" t="inlineStr"/>
      <c r="T26" s="14" t="inlineStr"/>
      <c r="U26" s="14" t="inlineStr"/>
    </row>
    <row r="27">
      <c r="A27" s="5" t="inlineStr">
        <is>
          <t>T-11</t>
        </is>
      </c>
      <c r="B27" s="15" t="inlineStr">
        <is>
          <t>コンテンツ</t>
        </is>
      </c>
      <c r="C27" s="5" t="inlineStr">
        <is>
          <t>集客</t>
        </is>
      </c>
      <c r="D27" s="5" t="inlineStr">
        <is>
          <t>SEO記事制作(月3本)</t>
        </is>
      </c>
      <c r="E27" s="5" t="inlineStr">
        <is>
          <t>04/21</t>
        </is>
      </c>
      <c r="F27" s="5" t="inlineStr">
        <is>
          <t>05/15</t>
        </is>
      </c>
      <c r="G27" s="5" t="n">
        <v>24</v>
      </c>
      <c r="H27" s="12" t="inlineStr">
        <is>
          <t>未着手</t>
        </is>
      </c>
      <c r="I27" s="6" t="n">
        <v>0</v>
      </c>
      <c r="J27" s="14" t="inlineStr"/>
      <c r="K27" s="14" t="inlineStr"/>
      <c r="L27" s="14" t="inlineStr"/>
      <c r="M27" s="14" t="inlineStr"/>
      <c r="N27" s="13" t="inlineStr"/>
      <c r="O27" s="13" t="inlineStr"/>
      <c r="P27" s="13" t="inlineStr"/>
      <c r="Q27" s="14" t="inlineStr"/>
      <c r="R27" s="14" t="inlineStr"/>
      <c r="S27" s="14" t="inlineStr"/>
      <c r="T27" s="14" t="inlineStr"/>
      <c r="U27" s="14" t="inlineStr"/>
    </row>
    <row r="28">
      <c r="A28" s="5" t="inlineStr">
        <is>
          <t>T-12</t>
        </is>
      </c>
      <c r="B28" s="18" t="inlineStr">
        <is>
          <t>マーケ</t>
        </is>
      </c>
      <c r="C28" s="5" t="inlineStr">
        <is>
          <t>集客</t>
        </is>
      </c>
      <c r="D28" s="5" t="inlineStr">
        <is>
          <t>LINE公式運用開始</t>
        </is>
      </c>
      <c r="E28" s="5" t="inlineStr">
        <is>
          <t>04/21</t>
        </is>
      </c>
      <c r="F28" s="5" t="inlineStr">
        <is>
          <t>05/02</t>
        </is>
      </c>
      <c r="G28" s="5" t="n">
        <v>10</v>
      </c>
      <c r="H28" s="12" t="inlineStr">
        <is>
          <t>未着手</t>
        </is>
      </c>
      <c r="I28" s="6" t="n">
        <v>0</v>
      </c>
      <c r="J28" s="14" t="inlineStr"/>
      <c r="K28" s="14" t="inlineStr"/>
      <c r="L28" s="14" t="inlineStr"/>
      <c r="M28" s="14" t="inlineStr"/>
      <c r="N28" s="13" t="inlineStr"/>
      <c r="O28" s="13" t="inlineStr"/>
      <c r="P28" s="14" t="inlineStr"/>
      <c r="Q28" s="14" t="inlineStr"/>
      <c r="R28" s="14" t="inlineStr"/>
      <c r="S28" s="14" t="inlineStr"/>
      <c r="T28" s="14" t="inlineStr"/>
      <c r="U28" s="14" t="inlineStr"/>
    </row>
    <row r="29">
      <c r="A29" s="5" t="inlineStr">
        <is>
          <t>T-20</t>
        </is>
      </c>
      <c r="B29" s="17" t="inlineStr">
        <is>
          <t>営業</t>
        </is>
      </c>
      <c r="C29" s="5" t="inlineStr">
        <is>
          <t>営業</t>
        </is>
      </c>
      <c r="D29" s="5" t="inlineStr">
        <is>
          <t>新規工務店アプローチ(月5社)</t>
        </is>
      </c>
      <c r="E29" s="5" t="inlineStr">
        <is>
          <t>04/28</t>
        </is>
      </c>
      <c r="F29" s="5" t="inlineStr">
        <is>
          <t>05/22</t>
        </is>
      </c>
      <c r="G29" s="5" t="n">
        <v>24</v>
      </c>
      <c r="H29" s="12" t="inlineStr">
        <is>
          <t>未着手</t>
        </is>
      </c>
      <c r="I29" s="6" t="n">
        <v>0</v>
      </c>
      <c r="J29" s="14" t="inlineStr"/>
      <c r="K29" s="14" t="inlineStr"/>
      <c r="L29" s="14" t="inlineStr"/>
      <c r="M29" s="14" t="inlineStr"/>
      <c r="N29" s="14" t="inlineStr"/>
      <c r="O29" s="13" t="inlineStr"/>
      <c r="P29" s="13" t="inlineStr"/>
      <c r="Q29" s="13" t="inlineStr"/>
      <c r="R29" s="14" t="inlineStr"/>
      <c r="S29" s="14" t="inlineStr"/>
      <c r="T29" s="14" t="inlineStr"/>
      <c r="U29" s="14" t="inlineStr"/>
    </row>
    <row r="30">
      <c r="A30" s="5" t="inlineStr">
        <is>
          <t>T-22</t>
        </is>
      </c>
      <c r="B30" s="15" t="inlineStr">
        <is>
          <t>コンテンツ</t>
        </is>
      </c>
      <c r="C30" s="5" t="inlineStr">
        <is>
          <t>コンテンツ</t>
        </is>
      </c>
      <c r="D30" s="5" t="inlineStr">
        <is>
          <t>月次コンテンツカレンダー作成</t>
        </is>
      </c>
      <c r="E30" s="5" t="inlineStr">
        <is>
          <t>04/21</t>
        </is>
      </c>
      <c r="F30" s="5" t="inlineStr">
        <is>
          <t>04/28</t>
        </is>
      </c>
      <c r="G30" s="5" t="n">
        <v>7</v>
      </c>
      <c r="H30" s="12" t="inlineStr">
        <is>
          <t>未着手</t>
        </is>
      </c>
      <c r="I30" s="6" t="n">
        <v>0</v>
      </c>
      <c r="J30" s="14" t="inlineStr"/>
      <c r="K30" s="14" t="inlineStr"/>
      <c r="L30" s="14" t="inlineStr"/>
      <c r="M30" s="14" t="inlineStr"/>
      <c r="N30" s="13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</row>
    <row r="31">
      <c r="A31" s="5" t="inlineStr">
        <is>
          <t>T-30</t>
        </is>
      </c>
      <c r="B31" s="15" t="inlineStr">
        <is>
          <t>コンテンツ</t>
        </is>
      </c>
      <c r="C31" s="5" t="inlineStr">
        <is>
          <t>品質</t>
        </is>
      </c>
      <c r="D31" s="5" t="inlineStr">
        <is>
          <t>SEOメタデータ一括入力</t>
        </is>
      </c>
      <c r="E31" s="5" t="inlineStr">
        <is>
          <t>04/21</t>
        </is>
      </c>
      <c r="F31" s="5" t="inlineStr">
        <is>
          <t>05/02</t>
        </is>
      </c>
      <c r="G31" s="5" t="n">
        <v>10</v>
      </c>
      <c r="H31" s="12" t="inlineStr">
        <is>
          <t>未着手</t>
        </is>
      </c>
      <c r="I31" s="6" t="n">
        <v>0</v>
      </c>
      <c r="J31" s="14" t="inlineStr"/>
      <c r="K31" s="14" t="inlineStr"/>
      <c r="L31" s="14" t="inlineStr"/>
      <c r="M31" s="14" t="inlineStr"/>
      <c r="N31" s="13" t="inlineStr"/>
      <c r="O31" s="13" t="inlineStr"/>
      <c r="P31" s="14" t="inlineStr"/>
      <c r="Q31" s="14" t="inlineStr"/>
      <c r="R31" s="14" t="inlineStr"/>
      <c r="S31" s="14" t="inlineStr"/>
      <c r="T31" s="14" t="inlineStr"/>
      <c r="U31" s="14" t="inlineStr"/>
    </row>
    <row r="32">
      <c r="A32" s="5" t="inlineStr">
        <is>
          <t>T-31</t>
        </is>
      </c>
      <c r="B32" s="15" t="inlineStr">
        <is>
          <t>コンテンツ</t>
        </is>
      </c>
      <c r="C32" s="5" t="inlineStr">
        <is>
          <t>品質</t>
        </is>
      </c>
      <c r="D32" s="5" t="inlineStr">
        <is>
          <t>マガジン表紙画像制作</t>
        </is>
      </c>
      <c r="E32" s="5" t="inlineStr">
        <is>
          <t>04/28</t>
        </is>
      </c>
      <c r="F32" s="5" t="inlineStr">
        <is>
          <t>05/15</t>
        </is>
      </c>
      <c r="G32" s="5" t="n">
        <v>17</v>
      </c>
      <c r="H32" s="12" t="inlineStr">
        <is>
          <t>未着手</t>
        </is>
      </c>
      <c r="I32" s="6" t="n">
        <v>0</v>
      </c>
      <c r="J32" s="14" t="inlineStr"/>
      <c r="K32" s="14" t="inlineStr"/>
      <c r="L32" s="14" t="inlineStr"/>
      <c r="M32" s="14" t="inlineStr"/>
      <c r="N32" s="14" t="inlineStr"/>
      <c r="O32" s="13" t="inlineStr"/>
      <c r="P32" s="13" t="inlineStr"/>
      <c r="Q32" s="14" t="inlineStr"/>
      <c r="R32" s="14" t="inlineStr"/>
      <c r="S32" s="14" t="inlineStr"/>
      <c r="T32" s="14" t="inlineStr"/>
      <c r="U32" s="14" t="inlineStr"/>
    </row>
    <row r="33">
      <c r="A33" s="5" t="inlineStr">
        <is>
          <t>T-42</t>
        </is>
      </c>
      <c r="B33" s="15" t="inlineStr">
        <is>
          <t>コンテンツ</t>
        </is>
      </c>
      <c r="C33" s="5" t="inlineStr">
        <is>
          <t>品質</t>
        </is>
      </c>
      <c r="D33" s="5" t="inlineStr">
        <is>
          <t>構造化データ入力</t>
        </is>
      </c>
      <c r="E33" s="5" t="inlineStr">
        <is>
          <t>05/04</t>
        </is>
      </c>
      <c r="F33" s="5" t="inlineStr">
        <is>
          <t>05/22</t>
        </is>
      </c>
      <c r="G33" s="5" t="n">
        <v>18</v>
      </c>
      <c r="H33" s="12" t="inlineStr">
        <is>
          <t>未着手</t>
        </is>
      </c>
      <c r="I33" s="6" t="n">
        <v>0</v>
      </c>
      <c r="J33" s="14" t="inlineStr"/>
      <c r="K33" s="14" t="inlineStr"/>
      <c r="L33" s="14" t="inlineStr"/>
      <c r="M33" s="14" t="inlineStr"/>
      <c r="N33" s="14" t="inlineStr"/>
      <c r="O33" s="14" t="inlineStr"/>
      <c r="P33" s="13" t="inlineStr"/>
      <c r="Q33" s="13" t="inlineStr"/>
      <c r="R33" s="14" t="inlineStr"/>
      <c r="S33" s="14" t="inlineStr"/>
      <c r="T33" s="14" t="inlineStr"/>
      <c r="U33" s="14" t="inlineStr"/>
    </row>
    <row r="34">
      <c r="A34" s="5" t="inlineStr">
        <is>
          <t>T-39</t>
        </is>
      </c>
      <c r="B34" s="16" t="inlineStr">
        <is>
          <t>PM</t>
        </is>
      </c>
      <c r="C34" s="5" t="inlineStr">
        <is>
          <t>計測</t>
        </is>
      </c>
      <c r="D34" s="5" t="inlineStr">
        <is>
          <t>月次レビュー会議開始</t>
        </is>
      </c>
      <c r="E34" s="5" t="inlineStr">
        <is>
          <t>05/04</t>
        </is>
      </c>
      <c r="F34" s="5" t="inlineStr">
        <is>
          <t>05/11</t>
        </is>
      </c>
      <c r="G34" s="5" t="n">
        <v>7</v>
      </c>
      <c r="H34" s="12" t="inlineStr">
        <is>
          <t>未着手</t>
        </is>
      </c>
      <c r="I34" s="6" t="n">
        <v>0</v>
      </c>
      <c r="J34" s="14" t="inlineStr"/>
      <c r="K34" s="14" t="inlineStr"/>
      <c r="L34" s="14" t="inlineStr"/>
      <c r="M34" s="14" t="inlineStr"/>
      <c r="N34" s="14" t="inlineStr"/>
      <c r="O34" s="14" t="inlineStr"/>
      <c r="P34" s="13" t="inlineStr"/>
      <c r="Q34" s="14" t="inlineStr"/>
      <c r="R34" s="14" t="inlineStr"/>
      <c r="S34" s="14" t="inlineStr"/>
      <c r="T34" s="14" t="inlineStr"/>
      <c r="U34" s="14" t="inlineStr"/>
    </row>
    <row r="35">
      <c r="A35" s="9" t="inlineStr">
        <is>
          <t>【Month 3: 検証・改善・次フェーズ準備】</t>
        </is>
      </c>
    </row>
    <row r="36">
      <c r="A36" s="5" t="inlineStr">
        <is>
          <t>T-01</t>
        </is>
      </c>
      <c r="B36" s="11" t="inlineStr">
        <is>
          <t>経営</t>
        </is>
      </c>
      <c r="C36" s="5" t="inlineStr">
        <is>
          <t>収益</t>
        </is>
      </c>
      <c r="D36" s="5" t="inlineStr">
        <is>
          <t>収益モデル初期検証</t>
        </is>
      </c>
      <c r="E36" s="5" t="inlineStr">
        <is>
          <t>05/18</t>
        </is>
      </c>
      <c r="F36" s="5" t="inlineStr">
        <is>
          <t>06/05</t>
        </is>
      </c>
      <c r="G36" s="5" t="n">
        <v>18</v>
      </c>
      <c r="H36" s="12" t="inlineStr">
        <is>
          <t>未着手</t>
        </is>
      </c>
      <c r="I36" s="6" t="n">
        <v>0</v>
      </c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3" t="inlineStr"/>
      <c r="S36" s="13" t="inlineStr"/>
      <c r="T36" s="14" t="inlineStr"/>
      <c r="U36" s="14" t="inlineStr"/>
    </row>
    <row r="37">
      <c r="A37" s="5" t="inlineStr">
        <is>
          <t>T-03</t>
        </is>
      </c>
      <c r="B37" s="11" t="inlineStr">
        <is>
          <t>経営</t>
        </is>
      </c>
      <c r="C37" s="5" t="inlineStr">
        <is>
          <t>戦略</t>
        </is>
      </c>
      <c r="D37" s="5" t="inlineStr">
        <is>
          <t>月次P/L作成</t>
        </is>
      </c>
      <c r="E37" s="5" t="inlineStr">
        <is>
          <t>05/18</t>
        </is>
      </c>
      <c r="F37" s="5" t="inlineStr">
        <is>
          <t>05/25</t>
        </is>
      </c>
      <c r="G37" s="5" t="n">
        <v>7</v>
      </c>
      <c r="H37" s="12" t="inlineStr">
        <is>
          <t>未着手</t>
        </is>
      </c>
      <c r="I37" s="6" t="n">
        <v>0</v>
      </c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3" t="inlineStr"/>
      <c r="S37" s="14" t="inlineStr"/>
      <c r="T37" s="14" t="inlineStr"/>
      <c r="U37" s="14" t="inlineStr"/>
    </row>
    <row r="38">
      <c r="A38" s="5" t="inlineStr">
        <is>
          <t>T-14</t>
        </is>
      </c>
      <c r="B38" s="16" t="inlineStr">
        <is>
          <t>PM</t>
        </is>
      </c>
      <c r="C38" s="5" t="inlineStr">
        <is>
          <t>CV</t>
        </is>
      </c>
      <c r="D38" s="5" t="inlineStr">
        <is>
          <t>フォーム離脱率分析・改善</t>
        </is>
      </c>
      <c r="E38" s="5" t="inlineStr">
        <is>
          <t>05/18</t>
        </is>
      </c>
      <c r="F38" s="5" t="inlineStr">
        <is>
          <t>06/01</t>
        </is>
      </c>
      <c r="G38" s="5" t="n">
        <v>14</v>
      </c>
      <c r="H38" s="12" t="inlineStr">
        <is>
          <t>未着手</t>
        </is>
      </c>
      <c r="I38" s="6" t="n">
        <v>0</v>
      </c>
      <c r="J38" s="14" t="inlineStr"/>
      <c r="K38" s="14" t="inlineStr"/>
      <c r="L38" s="14" t="inlineStr"/>
      <c r="M38" s="14" t="inlineStr"/>
      <c r="N38" s="14" t="inlineStr"/>
      <c r="O38" s="14" t="inlineStr"/>
      <c r="P38" s="14" t="inlineStr"/>
      <c r="Q38" s="14" t="inlineStr"/>
      <c r="R38" s="13" t="inlineStr"/>
      <c r="S38" s="13" t="inlineStr"/>
      <c r="T38" s="14" t="inlineStr"/>
      <c r="U38" s="14" t="inlineStr"/>
    </row>
    <row r="39">
      <c r="A39" s="5" t="inlineStr">
        <is>
          <t>T-15</t>
        </is>
      </c>
      <c r="B39" s="16" t="inlineStr">
        <is>
          <t>PM</t>
        </is>
      </c>
      <c r="C39" s="5" t="inlineStr">
        <is>
          <t>データ</t>
        </is>
      </c>
      <c r="D39" s="5" t="inlineStr">
        <is>
          <t>データ活用ロードマップ確定</t>
        </is>
      </c>
      <c r="E39" s="5" t="inlineStr">
        <is>
          <t>05/25</t>
        </is>
      </c>
      <c r="F39" s="5" t="inlineStr">
        <is>
          <t>06/08</t>
        </is>
      </c>
      <c r="G39" s="5" t="n">
        <v>14</v>
      </c>
      <c r="H39" s="12" t="inlineStr">
        <is>
          <t>未着手</t>
        </is>
      </c>
      <c r="I39" s="6" t="n">
        <v>0</v>
      </c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3" t="inlineStr"/>
      <c r="T39" s="13" t="inlineStr"/>
      <c r="U39" s="14" t="inlineStr"/>
    </row>
    <row r="40">
      <c r="A40" s="5" t="inlineStr">
        <is>
          <t>T-16</t>
        </is>
      </c>
      <c r="B40" s="16" t="inlineStr">
        <is>
          <t>PM</t>
        </is>
      </c>
      <c r="C40" s="5" t="inlineStr">
        <is>
          <t>データ</t>
        </is>
      </c>
      <c r="D40" s="5" t="inlineStr">
        <is>
          <t>月次データレポート作成</t>
        </is>
      </c>
      <c r="E40" s="5" t="inlineStr">
        <is>
          <t>06/01</t>
        </is>
      </c>
      <c r="F40" s="5" t="inlineStr">
        <is>
          <t>06/15</t>
        </is>
      </c>
      <c r="G40" s="5" t="n">
        <v>14</v>
      </c>
      <c r="H40" s="12" t="inlineStr">
        <is>
          <t>未着手</t>
        </is>
      </c>
      <c r="I40" s="6" t="n">
        <v>0</v>
      </c>
      <c r="J40" s="14" t="inlineStr"/>
      <c r="K40" s="14" t="inlineStr"/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3" t="inlineStr"/>
      <c r="U40" s="13" t="inlineStr"/>
    </row>
    <row r="41">
      <c r="A41" s="5" t="inlineStr">
        <is>
          <t>T-23</t>
        </is>
      </c>
      <c r="B41" s="15" t="inlineStr">
        <is>
          <t>コンテンツ</t>
        </is>
      </c>
      <c r="C41" s="5" t="inlineStr">
        <is>
          <t>コンテンツ</t>
        </is>
      </c>
      <c r="D41" s="5" t="inlineStr">
        <is>
          <t>比較コンテンツ制作</t>
        </is>
      </c>
      <c r="E41" s="5" t="inlineStr">
        <is>
          <t>05/18</t>
        </is>
      </c>
      <c r="F41" s="5" t="inlineStr">
        <is>
          <t>06/15</t>
        </is>
      </c>
      <c r="G41" s="5" t="n">
        <v>28</v>
      </c>
      <c r="H41" s="12" t="inlineStr">
        <is>
          <t>未着手</t>
        </is>
      </c>
      <c r="I41" s="6" t="n">
        <v>0</v>
      </c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3" t="inlineStr"/>
      <c r="S41" s="13" t="inlineStr"/>
      <c r="T41" s="13" t="inlineStr"/>
      <c r="U41" s="13" t="inlineStr"/>
    </row>
    <row r="42">
      <c r="A42" s="5" t="inlineStr">
        <is>
          <t>T-24</t>
        </is>
      </c>
      <c r="B42" s="15" t="inlineStr">
        <is>
          <t>コンテンツ</t>
        </is>
      </c>
      <c r="C42" s="5" t="inlineStr">
        <is>
          <t>コンテンツ</t>
        </is>
      </c>
      <c r="D42" s="5" t="inlineStr">
        <is>
          <t>AIチャット用FAQ整理</t>
        </is>
      </c>
      <c r="E42" s="5" t="inlineStr">
        <is>
          <t>05/25</t>
        </is>
      </c>
      <c r="F42" s="5" t="inlineStr">
        <is>
          <t>06/08</t>
        </is>
      </c>
      <c r="G42" s="5" t="n">
        <v>14</v>
      </c>
      <c r="H42" s="12" t="inlineStr">
        <is>
          <t>未着手</t>
        </is>
      </c>
      <c r="I42" s="6" t="n">
        <v>0</v>
      </c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3" t="inlineStr"/>
      <c r="T42" s="13" t="inlineStr"/>
      <c r="U42" s="14" t="inlineStr"/>
    </row>
    <row r="43">
      <c r="A43" s="5" t="inlineStr">
        <is>
          <t>T-41</t>
        </is>
      </c>
      <c r="B43" s="11" t="inlineStr">
        <is>
          <t>経営</t>
        </is>
      </c>
      <c r="C43" s="5" t="inlineStr">
        <is>
          <t>戦略</t>
        </is>
      </c>
      <c r="D43" s="5" t="inlineStr">
        <is>
          <t>年間事業計画策定</t>
        </is>
      </c>
      <c r="E43" s="5" t="inlineStr">
        <is>
          <t>06/01</t>
        </is>
      </c>
      <c r="F43" s="5" t="inlineStr">
        <is>
          <t>06/15</t>
        </is>
      </c>
      <c r="G43" s="5" t="n">
        <v>14</v>
      </c>
      <c r="H43" s="12" t="inlineStr">
        <is>
          <t>未着手</t>
        </is>
      </c>
      <c r="I43" s="6" t="n">
        <v>0</v>
      </c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3" t="inlineStr"/>
      <c r="U43" s="13" t="inlineStr"/>
    </row>
    <row r="44">
      <c r="A44" s="5" t="inlineStr">
        <is>
          <t>T-34</t>
        </is>
      </c>
      <c r="B44" s="11" t="inlineStr">
        <is>
          <t>経営</t>
        </is>
      </c>
      <c r="C44" s="5" t="inlineStr">
        <is>
          <t>オペ</t>
        </is>
      </c>
      <c r="D44" s="5" t="inlineStr">
        <is>
          <t>SLA設定</t>
        </is>
      </c>
      <c r="E44" s="5" t="inlineStr">
        <is>
          <t>06/01</t>
        </is>
      </c>
      <c r="F44" s="5" t="inlineStr">
        <is>
          <t>06/08</t>
        </is>
      </c>
      <c r="G44" s="5" t="n">
        <v>7</v>
      </c>
      <c r="H44" s="12" t="inlineStr">
        <is>
          <t>未着手</t>
        </is>
      </c>
      <c r="I44" s="6" t="n">
        <v>0</v>
      </c>
      <c r="J44" s="14" t="inlineStr"/>
      <c r="K44" s="14" t="inlineStr"/>
      <c r="L44" s="14" t="inlineStr"/>
      <c r="M44" s="14" t="inlineStr"/>
      <c r="N44" s="14" t="inlineStr"/>
      <c r="O44" s="14" t="inlineStr"/>
      <c r="P44" s="14" t="inlineStr"/>
      <c r="Q44" s="14" t="inlineStr"/>
      <c r="R44" s="14" t="inlineStr"/>
      <c r="S44" s="14" t="inlineStr"/>
      <c r="T44" s="13" t="inlineStr"/>
      <c r="U44" s="14" t="inlineStr"/>
    </row>
  </sheetData>
  <mergeCells count="3">
    <mergeCell ref="A35:U35"/>
    <mergeCell ref="A25:U25"/>
    <mergeCell ref="A2:U2"/>
  </mergeCells>
  <dataValidations count="1">
    <dataValidation sqref="H2:H6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740C"/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  <col width="10" customWidth="1" min="4" max="4"/>
    <col width="8" customWidth="1" min="5" max="5"/>
    <col width="6" customWidth="1" min="6" max="6"/>
    <col width="8" customWidth="1" min="7" max="7"/>
    <col width="30" customWidth="1" min="8" max="8"/>
    <col width="12" customWidth="1" min="9" max="9"/>
  </cols>
  <sheetData>
    <row r="1">
      <c r="A1" s="4" t="inlineStr">
        <is>
          <t>担当</t>
        </is>
      </c>
      <c r="B1" s="4" t="inlineStr">
        <is>
          <t>ID</t>
        </is>
      </c>
      <c r="C1" s="4" t="inlineStr">
        <is>
          <t>タスク名</t>
        </is>
      </c>
      <c r="D1" s="4" t="inlineStr">
        <is>
          <t>カテゴリ</t>
        </is>
      </c>
      <c r="E1" s="4" t="inlineStr">
        <is>
          <t>期限</t>
        </is>
      </c>
      <c r="F1" s="4" t="inlineStr">
        <is>
          <t>優先度</t>
        </is>
      </c>
      <c r="G1" s="4" t="inlineStr">
        <is>
          <t>ステータス</t>
        </is>
      </c>
      <c r="H1" s="4" t="inlineStr">
        <is>
          <t>次のアクション</t>
        </is>
      </c>
      <c r="I1" s="4" t="inlineStr">
        <is>
          <t>備考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</row>
    <row r="3">
      <c r="A3" s="11" t="inlineStr">
        <is>
          <t>経営</t>
        </is>
      </c>
      <c r="B3" s="5" t="inlineStr">
        <is>
          <t>T-06</t>
        </is>
      </c>
      <c r="C3" s="5" t="inlineStr">
        <is>
          <t>エレベーターピッチ作成</t>
        </is>
      </c>
      <c r="D3" s="5" t="inlineStr">
        <is>
          <t>戦略</t>
        </is>
      </c>
      <c r="E3" s="5" t="inlineStr">
        <is>
          <t>03/28</t>
        </is>
      </c>
      <c r="F3" s="19" t="inlineStr">
        <is>
          <t>高</t>
        </is>
      </c>
      <c r="G3" s="12" t="inlineStr">
        <is>
          <t>未着手</t>
        </is>
      </c>
      <c r="H3" s="5" t="inlineStr">
        <is>
          <t>AIで草案3パターン生成→選定</t>
        </is>
      </c>
      <c r="I3" s="5" t="inlineStr"/>
    </row>
    <row r="4">
      <c r="A4" s="11" t="inlineStr">
        <is>
          <t>経営</t>
        </is>
      </c>
      <c r="B4" s="5" t="inlineStr">
        <is>
          <t>T-07</t>
        </is>
      </c>
      <c r="C4" s="5" t="inlineStr">
        <is>
          <t>営業提案書 初稿</t>
        </is>
      </c>
      <c r="D4" s="5" t="inlineStr">
        <is>
          <t>営業</t>
        </is>
      </c>
      <c r="E4" s="5" t="inlineStr">
        <is>
          <t>04/04</t>
        </is>
      </c>
      <c r="F4" s="19" t="inlineStr">
        <is>
          <t>高</t>
        </is>
      </c>
      <c r="G4" s="12" t="inlineStr">
        <is>
          <t>未着手</t>
        </is>
      </c>
      <c r="H4" s="5" t="inlineStr">
        <is>
          <t>AIで構成案作成→レビュー</t>
        </is>
      </c>
      <c r="I4" s="5" t="inlineStr"/>
    </row>
    <row r="5">
      <c r="A5" s="11" t="inlineStr">
        <is>
          <t>経営</t>
        </is>
      </c>
      <c r="B5" s="5" t="inlineStr">
        <is>
          <t>T-35</t>
        </is>
      </c>
      <c r="C5" s="5" t="inlineStr">
        <is>
          <t>料金プラン確定</t>
        </is>
      </c>
      <c r="D5" s="5" t="inlineStr">
        <is>
          <t>収益</t>
        </is>
      </c>
      <c r="E5" s="5" t="inlineStr">
        <is>
          <t>04/07</t>
        </is>
      </c>
      <c r="F5" s="19" t="inlineStr">
        <is>
          <t>高</t>
        </is>
      </c>
      <c r="G5" s="12" t="inlineStr">
        <is>
          <t>未着手</t>
        </is>
      </c>
      <c r="H5" s="5" t="inlineStr">
        <is>
          <t>競合調査→3プラン価格決定</t>
        </is>
      </c>
      <c r="I5" s="5" t="inlineStr"/>
    </row>
    <row r="6">
      <c r="A6" s="11" t="inlineStr">
        <is>
          <t>経営</t>
        </is>
      </c>
      <c r="B6" s="5" t="inlineStr">
        <is>
          <t>T-17</t>
        </is>
      </c>
      <c r="C6" s="5" t="inlineStr">
        <is>
          <t>営業フロー設計</t>
        </is>
      </c>
      <c r="D6" s="5" t="inlineStr">
        <is>
          <t>営業</t>
        </is>
      </c>
      <c r="E6" s="5" t="inlineStr">
        <is>
          <t>04/07</t>
        </is>
      </c>
      <c r="F6" s="19" t="inlineStr">
        <is>
          <t>高</t>
        </is>
      </c>
      <c r="G6" s="12" t="inlineStr">
        <is>
          <t>未着手</t>
        </is>
      </c>
      <c r="H6" s="5" t="inlineStr">
        <is>
          <t>AIでフロー草案→調整</t>
        </is>
      </c>
      <c r="I6" s="5" t="inlineStr"/>
    </row>
    <row r="7">
      <c r="A7" s="11" t="inlineStr">
        <is>
          <t>経営</t>
        </is>
      </c>
      <c r="B7" s="5" t="inlineStr">
        <is>
          <t>T-32</t>
        </is>
      </c>
      <c r="C7" s="5" t="inlineStr">
        <is>
          <t>問い合わせ対応フロー</t>
        </is>
      </c>
      <c r="D7" s="5" t="inlineStr">
        <is>
          <t>オペ</t>
        </is>
      </c>
      <c r="E7" s="5" t="inlineStr">
        <is>
          <t>04/04</t>
        </is>
      </c>
      <c r="F7" s="19" t="inlineStr">
        <is>
          <t>高</t>
        </is>
      </c>
      <c r="G7" s="12" t="inlineStr">
        <is>
          <t>未着手</t>
        </is>
      </c>
      <c r="H7" s="5" t="inlineStr">
        <is>
          <t>AIでフロー草案→確定</t>
        </is>
      </c>
      <c r="I7" s="5" t="inlineStr"/>
    </row>
    <row r="8">
      <c r="A8" s="11" t="inlineStr">
        <is>
          <t>経営</t>
        </is>
      </c>
      <c r="B8" s="5" t="inlineStr">
        <is>
          <t>T-19</t>
        </is>
      </c>
      <c r="C8" s="5" t="inlineStr">
        <is>
          <t>既存取材先への提案</t>
        </is>
      </c>
      <c r="D8" s="5" t="inlineStr">
        <is>
          <t>営業</t>
        </is>
      </c>
      <c r="E8" s="5" t="inlineStr">
        <is>
          <t>04/18</t>
        </is>
      </c>
      <c r="F8" s="19" t="inlineStr">
        <is>
          <t>高</t>
        </is>
      </c>
      <c r="G8" s="12" t="inlineStr">
        <is>
          <t>未着手</t>
        </is>
      </c>
      <c r="H8" s="5" t="inlineStr">
        <is>
          <t>アポ取得→提案書持参→交渉</t>
        </is>
      </c>
      <c r="I8" s="5" t="inlineStr"/>
    </row>
    <row r="9">
      <c r="A9" s="11" t="inlineStr">
        <is>
          <t>経営</t>
        </is>
      </c>
      <c r="B9" s="5" t="inlineStr">
        <is>
          <t>T-36</t>
        </is>
      </c>
      <c r="C9" s="5" t="inlineStr">
        <is>
          <t>初期パートナー1社獲得</t>
        </is>
      </c>
      <c r="D9" s="5" t="inlineStr">
        <is>
          <t>収益</t>
        </is>
      </c>
      <c r="E9" s="5" t="inlineStr">
        <is>
          <t>04/25</t>
        </is>
      </c>
      <c r="F9" s="19" t="inlineStr">
        <is>
          <t>高</t>
        </is>
      </c>
      <c r="G9" s="12" t="inlineStr">
        <is>
          <t>未着手</t>
        </is>
      </c>
      <c r="H9" s="5" t="inlineStr">
        <is>
          <t>T-19の結果→契約締結</t>
        </is>
      </c>
      <c r="I9" s="5" t="inlineStr">
        <is>
          <t>最重要</t>
        </is>
      </c>
    </row>
    <row r="10">
      <c r="A10" s="11" t="inlineStr">
        <is>
          <t>経営</t>
        </is>
      </c>
      <c r="B10" s="5" t="inlineStr">
        <is>
          <t>T-40</t>
        </is>
      </c>
      <c r="C10" s="5" t="inlineStr">
        <is>
          <t>四半期マイルストーン</t>
        </is>
      </c>
      <c r="D10" s="5" t="inlineStr">
        <is>
          <t>戦略</t>
        </is>
      </c>
      <c r="E10" s="5" t="inlineStr">
        <is>
          <t>04/07</t>
        </is>
      </c>
      <c r="F10" s="19" t="inlineStr">
        <is>
          <t>高</t>
        </is>
      </c>
      <c r="G10" s="12" t="inlineStr">
        <is>
          <t>未着手</t>
        </is>
      </c>
      <c r="H10" s="5" t="inlineStr">
        <is>
          <t>Q2/Q3/Q4目標値設定</t>
        </is>
      </c>
      <c r="I10" s="5" t="inlineStr"/>
    </row>
    <row r="11">
      <c r="A11" s="11" t="inlineStr">
        <is>
          <t>経営</t>
        </is>
      </c>
      <c r="B11" s="5" t="inlineStr">
        <is>
          <t>T-08</t>
        </is>
      </c>
      <c r="C11" s="5" t="inlineStr">
        <is>
          <t>料金プラン確定</t>
        </is>
      </c>
      <c r="D11" s="5" t="inlineStr">
        <is>
          <t>収益</t>
        </is>
      </c>
      <c r="E11" s="5" t="inlineStr">
        <is>
          <t>04/07</t>
        </is>
      </c>
      <c r="F11" s="19" t="inlineStr">
        <is>
          <t>高</t>
        </is>
      </c>
      <c r="G11" s="12" t="inlineStr">
        <is>
          <t>未着手</t>
        </is>
      </c>
      <c r="H11" s="5" t="inlineStr">
        <is>
          <t>3プランの最終価格決定</t>
        </is>
      </c>
      <c r="I11" s="5" t="inlineStr">
        <is>
          <t>経営専権</t>
        </is>
      </c>
    </row>
    <row r="12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</row>
    <row r="13">
      <c r="A13" s="17" t="inlineStr">
        <is>
          <t>営業</t>
        </is>
      </c>
      <c r="B13" s="5" t="inlineStr">
        <is>
          <t>T-28</t>
        </is>
      </c>
      <c r="C13" s="5" t="inlineStr">
        <is>
          <t>工務店再ヒアリング(1-3社)</t>
        </is>
      </c>
      <c r="D13" s="5" t="inlineStr">
        <is>
          <t>品質</t>
        </is>
      </c>
      <c r="E13" s="5" t="inlineStr">
        <is>
          <t>04/21</t>
        </is>
      </c>
      <c r="F13" s="19" t="inlineStr">
        <is>
          <t>高</t>
        </is>
      </c>
      <c r="G13" s="12" t="inlineStr">
        <is>
          <t>未着手</t>
        </is>
      </c>
      <c r="H13" s="5" t="inlineStr">
        <is>
          <t>質問シート(T-27)→訪問実施</t>
        </is>
      </c>
      <c r="I13" s="5" t="inlineStr"/>
    </row>
    <row r="14">
      <c r="A14" s="17" t="inlineStr">
        <is>
          <t>営業</t>
        </is>
      </c>
      <c r="B14" s="5" t="inlineStr">
        <is>
          <t>T-05</t>
        </is>
      </c>
      <c r="C14" s="5" t="inlineStr">
        <is>
          <t>ターゲットリスト50社</t>
        </is>
      </c>
      <c r="D14" s="5" t="inlineStr">
        <is>
          <t>戦略</t>
        </is>
      </c>
      <c r="E14" s="5" t="inlineStr">
        <is>
          <t>05/02</t>
        </is>
      </c>
      <c r="F14" s="20" t="inlineStr">
        <is>
          <t>中</t>
        </is>
      </c>
      <c r="G14" s="12" t="inlineStr">
        <is>
          <t>未着手</t>
        </is>
      </c>
      <c r="H14" s="5" t="inlineStr">
        <is>
          <t>AI補助でリスト収集→人間確認</t>
        </is>
      </c>
      <c r="I14" s="5" t="inlineStr"/>
    </row>
    <row r="15">
      <c r="A15" s="17" t="inlineStr">
        <is>
          <t>営業</t>
        </is>
      </c>
      <c r="B15" s="5" t="inlineStr">
        <is>
          <t>T-20</t>
        </is>
      </c>
      <c r="C15" s="5" t="inlineStr">
        <is>
          <t>新規アプローチ(月5社)</t>
        </is>
      </c>
      <c r="D15" s="5" t="inlineStr">
        <is>
          <t>営業</t>
        </is>
      </c>
      <c r="E15" s="5" t="inlineStr">
        <is>
          <t>05/22</t>
        </is>
      </c>
      <c r="F15" s="20" t="inlineStr">
        <is>
          <t>中</t>
        </is>
      </c>
      <c r="G15" s="12" t="inlineStr">
        <is>
          <t>未着手</t>
        </is>
      </c>
      <c r="H15" s="5" t="inlineStr">
        <is>
          <t>リスト→アポ→提案</t>
        </is>
      </c>
      <c r="I15" s="5" t="inlineStr"/>
    </row>
    <row r="16">
      <c r="A16" s="17" t="inlineStr">
        <is>
          <t>営業</t>
        </is>
      </c>
      <c r="B16" s="5" t="inlineStr">
        <is>
          <t>T-18</t>
        </is>
      </c>
      <c r="C16" s="5" t="inlineStr">
        <is>
          <t>契約書テンプレート</t>
        </is>
      </c>
      <c r="D16" s="5" t="inlineStr">
        <is>
          <t>営業</t>
        </is>
      </c>
      <c r="E16" s="5" t="inlineStr">
        <is>
          <t>04/14</t>
        </is>
      </c>
      <c r="F16" s="19" t="inlineStr">
        <is>
          <t>高</t>
        </is>
      </c>
      <c r="G16" s="12" t="inlineStr">
        <is>
          <t>未着手</t>
        </is>
      </c>
      <c r="H16" s="5" t="inlineStr">
        <is>
          <t>AIで草案→法務確認</t>
        </is>
      </c>
      <c r="I16" s="5" t="inlineStr"/>
    </row>
    <row r="17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</row>
    <row r="18">
      <c r="A18" s="16" t="inlineStr">
        <is>
          <t>PM</t>
        </is>
      </c>
      <c r="B18" s="5" t="inlineStr">
        <is>
          <t>T-09</t>
        </is>
      </c>
      <c r="C18" s="5" t="inlineStr">
        <is>
          <t>GA4セットアップ</t>
        </is>
      </c>
      <c r="D18" s="5" t="inlineStr">
        <is>
          <t>計測</t>
        </is>
      </c>
      <c r="E18" s="5" t="inlineStr">
        <is>
          <t>03/31</t>
        </is>
      </c>
      <c r="F18" s="19" t="inlineStr">
        <is>
          <t>高</t>
        </is>
      </c>
      <c r="G18" s="12" t="inlineStr">
        <is>
          <t>未着手</t>
        </is>
      </c>
      <c r="H18" s="5" t="inlineStr">
        <is>
          <t>エンジニアと連携→設定完了</t>
        </is>
      </c>
      <c r="I18" s="5" t="inlineStr"/>
    </row>
    <row r="19">
      <c r="A19" s="16" t="inlineStr">
        <is>
          <t>PM</t>
        </is>
      </c>
      <c r="B19" s="5" t="inlineStr">
        <is>
          <t>T-02</t>
        </is>
      </c>
      <c r="C19" s="5" t="inlineStr">
        <is>
          <t>KPI定義・計測開始</t>
        </is>
      </c>
      <c r="D19" s="5" t="inlineStr">
        <is>
          <t>計測</t>
        </is>
      </c>
      <c r="E19" s="5" t="inlineStr">
        <is>
          <t>04/07</t>
        </is>
      </c>
      <c r="F19" s="19" t="inlineStr">
        <is>
          <t>高</t>
        </is>
      </c>
      <c r="G19" s="12" t="inlineStr">
        <is>
          <t>未着手</t>
        </is>
      </c>
      <c r="H19" s="5" t="inlineStr">
        <is>
          <t>5項目選定→計測設計→稼働</t>
        </is>
      </c>
      <c r="I19" s="5" t="inlineStr"/>
    </row>
    <row r="20">
      <c r="A20" s="16" t="inlineStr">
        <is>
          <t>PM</t>
        </is>
      </c>
      <c r="B20" s="5" t="inlineStr">
        <is>
          <t>T-38</t>
        </is>
      </c>
      <c r="C20" s="5" t="inlineStr">
        <is>
          <t>週次KPIレポート開始</t>
        </is>
      </c>
      <c r="D20" s="5" t="inlineStr">
        <is>
          <t>計測</t>
        </is>
      </c>
      <c r="E20" s="5" t="inlineStr">
        <is>
          <t>04/21</t>
        </is>
      </c>
      <c r="F20" s="19" t="inlineStr">
        <is>
          <t>高</t>
        </is>
      </c>
      <c r="G20" s="12" t="inlineStr">
        <is>
          <t>未着手</t>
        </is>
      </c>
      <c r="H20" s="5" t="inlineStr">
        <is>
          <t>テンプレート作成→毎週実施</t>
        </is>
      </c>
      <c r="I20" s="5" t="inlineStr"/>
    </row>
    <row r="21">
      <c r="A21" s="16" t="inlineStr">
        <is>
          <t>PM</t>
        </is>
      </c>
      <c r="B21" s="5" t="inlineStr">
        <is>
          <t>T-13</t>
        </is>
      </c>
      <c r="C21" s="5" t="inlineStr">
        <is>
          <t>CV率計測開始</t>
        </is>
      </c>
      <c r="D21" s="5" t="inlineStr">
        <is>
          <t>CV</t>
        </is>
      </c>
      <c r="E21" s="5" t="inlineStr">
        <is>
          <t>04/21</t>
        </is>
      </c>
      <c r="F21" s="20" t="inlineStr">
        <is>
          <t>中</t>
        </is>
      </c>
      <c r="G21" s="12" t="inlineStr">
        <is>
          <t>未着手</t>
        </is>
      </c>
      <c r="H21" s="5" t="inlineStr">
        <is>
          <t>GA4イベント→レポート化</t>
        </is>
      </c>
      <c r="I21" s="5" t="inlineStr"/>
    </row>
    <row r="22">
      <c r="A22" s="16" t="inlineStr">
        <is>
          <t>PM</t>
        </is>
      </c>
      <c r="B22" s="5" t="inlineStr">
        <is>
          <t>T-15</t>
        </is>
      </c>
      <c r="C22" s="5" t="inlineStr">
        <is>
          <t>データ活用ロードマップ</t>
        </is>
      </c>
      <c r="D22" s="5" t="inlineStr">
        <is>
          <t>データ</t>
        </is>
      </c>
      <c r="E22" s="5" t="inlineStr">
        <is>
          <t>06/08</t>
        </is>
      </c>
      <c r="F22" s="20" t="inlineStr">
        <is>
          <t>中</t>
        </is>
      </c>
      <c r="G22" s="12" t="inlineStr">
        <is>
          <t>未着手</t>
        </is>
      </c>
      <c r="H22" s="5" t="inlineStr">
        <is>
          <t>AIでたたき台→経営判断</t>
        </is>
      </c>
      <c r="I22" s="5" t="inlineStr"/>
    </row>
    <row r="23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</row>
    <row r="24">
      <c r="A24" s="18" t="inlineStr">
        <is>
          <t>マーケ</t>
        </is>
      </c>
      <c r="B24" s="5" t="inlineStr">
        <is>
          <t>T-10</t>
        </is>
      </c>
      <c r="C24" s="5" t="inlineStr">
        <is>
          <t>YouTube概要欄CTA</t>
        </is>
      </c>
      <c r="D24" s="5" t="inlineStr">
        <is>
          <t>集客</t>
        </is>
      </c>
      <c r="E24" s="5" t="inlineStr">
        <is>
          <t>04/14</t>
        </is>
      </c>
      <c r="F24" s="19" t="inlineStr">
        <is>
          <t>高</t>
        </is>
      </c>
      <c r="G24" s="12" t="inlineStr">
        <is>
          <t>未着手</t>
        </is>
      </c>
      <c r="H24" s="5" t="inlineStr">
        <is>
          <t>全動画にWeb導線テンプレ適用</t>
        </is>
      </c>
      <c r="I24" s="5" t="inlineStr"/>
    </row>
    <row r="25">
      <c r="A25" s="18" t="inlineStr">
        <is>
          <t>マーケ</t>
        </is>
      </c>
      <c r="B25" s="5" t="inlineStr">
        <is>
          <t>T-12</t>
        </is>
      </c>
      <c r="C25" s="5" t="inlineStr">
        <is>
          <t>LINE公式運用開始</t>
        </is>
      </c>
      <c r="D25" s="5" t="inlineStr">
        <is>
          <t>集客</t>
        </is>
      </c>
      <c r="E25" s="5" t="inlineStr">
        <is>
          <t>05/02</t>
        </is>
      </c>
      <c r="F25" s="20" t="inlineStr">
        <is>
          <t>中</t>
        </is>
      </c>
      <c r="G25" s="12" t="inlineStr">
        <is>
          <t>未着手</t>
        </is>
      </c>
      <c r="H25" s="5" t="inlineStr">
        <is>
          <t>開設→友だち追加導線→配信開始</t>
        </is>
      </c>
      <c r="I25" s="5" t="inlineStr"/>
    </row>
    <row r="26">
      <c r="A26" s="12" t="inlineStr"/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</row>
    <row r="27">
      <c r="A27" s="15" t="inlineStr">
        <is>
          <t>コンテンツ</t>
        </is>
      </c>
      <c r="B27" s="5" t="inlineStr">
        <is>
          <t>T-25</t>
        </is>
      </c>
      <c r="C27" s="5" t="inlineStr">
        <is>
          <t>掲載基準策定</t>
        </is>
      </c>
      <c r="D27" s="5" t="inlineStr">
        <is>
          <t>品質</t>
        </is>
      </c>
      <c r="E27" s="5" t="inlineStr">
        <is>
          <t>03/31</t>
        </is>
      </c>
      <c r="F27" s="19" t="inlineStr">
        <is>
          <t>高</t>
        </is>
      </c>
      <c r="G27" s="12" t="inlineStr">
        <is>
          <t>未着手</t>
        </is>
      </c>
      <c r="H27" s="5" t="inlineStr">
        <is>
          <t>AIでたたき台→レビュー→確定</t>
        </is>
      </c>
      <c r="I27" s="5" t="inlineStr"/>
    </row>
    <row r="28">
      <c r="A28" s="15" t="inlineStr">
        <is>
          <t>コンテンツ</t>
        </is>
      </c>
      <c r="B28" s="5" t="inlineStr">
        <is>
          <t>T-26</t>
        </is>
      </c>
      <c r="C28" s="5" t="inlineStr">
        <is>
          <t>全ページ文言監査</t>
        </is>
      </c>
      <c r="D28" s="5" t="inlineStr">
        <is>
          <t>品質</t>
        </is>
      </c>
      <c r="E28" s="5" t="inlineStr">
        <is>
          <t>04/07</t>
        </is>
      </c>
      <c r="F28" s="19" t="inlineStr">
        <is>
          <t>高</t>
        </is>
      </c>
      <c r="G28" s="12" t="inlineStr">
        <is>
          <t>未着手</t>
        </is>
      </c>
      <c r="H28" s="5" t="inlineStr">
        <is>
          <t>AIで初期チェック→人間判定</t>
        </is>
      </c>
      <c r="I28" s="5" t="inlineStr"/>
    </row>
    <row r="29">
      <c r="A29" s="15" t="inlineStr">
        <is>
          <t>コンテンツ</t>
        </is>
      </c>
      <c r="B29" s="5" t="inlineStr">
        <is>
          <t>T-27</t>
        </is>
      </c>
      <c r="C29" s="5" t="inlineStr">
        <is>
          <t>再ヒアリング項目整理</t>
        </is>
      </c>
      <c r="D29" s="5" t="inlineStr">
        <is>
          <t>品質</t>
        </is>
      </c>
      <c r="E29" s="5" t="inlineStr">
        <is>
          <t>04/07</t>
        </is>
      </c>
      <c r="F29" s="19" t="inlineStr">
        <is>
          <t>高</t>
        </is>
      </c>
      <c r="G29" s="12" t="inlineStr">
        <is>
          <t>未着手</t>
        </is>
      </c>
      <c r="H29" s="5" t="inlineStr">
        <is>
          <t>AIで草案→営業と連携</t>
        </is>
      </c>
      <c r="I29" s="5" t="inlineStr"/>
    </row>
    <row r="30">
      <c r="A30" s="15" t="inlineStr">
        <is>
          <t>コンテンツ</t>
        </is>
      </c>
      <c r="B30" s="5" t="inlineStr">
        <is>
          <t>T-21</t>
        </is>
      </c>
      <c r="C30" s="5" t="inlineStr">
        <is>
          <t>取材記事の実名化</t>
        </is>
      </c>
      <c r="D30" s="5" t="inlineStr">
        <is>
          <t>品質</t>
        </is>
      </c>
      <c r="E30" s="5" t="inlineStr">
        <is>
          <t>04/18</t>
        </is>
      </c>
      <c r="F30" s="19" t="inlineStr">
        <is>
          <t>高</t>
        </is>
      </c>
      <c r="G30" s="12" t="inlineStr">
        <is>
          <t>未着手</t>
        </is>
      </c>
      <c r="H30" s="5" t="inlineStr">
        <is>
          <t>取材先に連絡→許可→差し替え</t>
        </is>
      </c>
      <c r="I30" s="5" t="inlineStr"/>
    </row>
    <row r="31">
      <c r="A31" s="15" t="inlineStr">
        <is>
          <t>コンテンツ</t>
        </is>
      </c>
      <c r="B31" s="5" t="inlineStr">
        <is>
          <t>T-29</t>
        </is>
      </c>
      <c r="C31" s="5" t="inlineStr">
        <is>
          <t>リライト実施(5件)</t>
        </is>
      </c>
      <c r="D31" s="5" t="inlineStr">
        <is>
          <t>品質</t>
        </is>
      </c>
      <c r="E31" s="5" t="inlineStr">
        <is>
          <t>04/25</t>
        </is>
      </c>
      <c r="F31" s="20" t="inlineStr">
        <is>
          <t>中</t>
        </is>
      </c>
      <c r="G31" s="12" t="inlineStr">
        <is>
          <t>未着手</t>
        </is>
      </c>
      <c r="H31" s="5" t="inlineStr">
        <is>
          <t>AIで草案→人間レビュー→公開</t>
        </is>
      </c>
      <c r="I31" s="5" t="inlineStr"/>
    </row>
    <row r="32">
      <c r="A32" s="15" t="inlineStr">
        <is>
          <t>コンテンツ</t>
        </is>
      </c>
      <c r="B32" s="5" t="inlineStr">
        <is>
          <t>T-30</t>
        </is>
      </c>
      <c r="C32" s="5" t="inlineStr">
        <is>
          <t>SEOメタデータ一括入力</t>
        </is>
      </c>
      <c r="D32" s="5" t="inlineStr">
        <is>
          <t>品質</t>
        </is>
      </c>
      <c r="E32" s="5" t="inlineStr">
        <is>
          <t>05/02</t>
        </is>
      </c>
      <c r="F32" s="20" t="inlineStr">
        <is>
          <t>中</t>
        </is>
      </c>
      <c r="G32" s="12" t="inlineStr">
        <is>
          <t>未着手</t>
        </is>
      </c>
      <c r="H32" s="5" t="inlineStr">
        <is>
          <t>AI一括生成(80件)→レビュー</t>
        </is>
      </c>
      <c r="I32" s="5" t="inlineStr">
        <is>
          <t>AI自動化◎</t>
        </is>
      </c>
    </row>
    <row r="33">
      <c r="A33" s="15" t="inlineStr">
        <is>
          <t>コンテンツ</t>
        </is>
      </c>
      <c r="B33" s="5" t="inlineStr">
        <is>
          <t>T-11</t>
        </is>
      </c>
      <c r="C33" s="5" t="inlineStr">
        <is>
          <t>SEO記事制作(月3本)</t>
        </is>
      </c>
      <c r="D33" s="5" t="inlineStr">
        <is>
          <t>集客</t>
        </is>
      </c>
      <c r="E33" s="5" t="inlineStr">
        <is>
          <t>05/15</t>
        </is>
      </c>
      <c r="F33" s="20" t="inlineStr">
        <is>
          <t>中</t>
        </is>
      </c>
      <c r="G33" s="12" t="inlineStr">
        <is>
          <t>未着手</t>
        </is>
      </c>
      <c r="H33" s="5" t="inlineStr">
        <is>
          <t>AI下書き→事実確認→公開</t>
        </is>
      </c>
      <c r="I33" s="5" t="inlineStr"/>
    </row>
    <row r="34">
      <c r="A34" s="15" t="inlineStr">
        <is>
          <t>コンテンツ</t>
        </is>
      </c>
      <c r="B34" s="5" t="inlineStr">
        <is>
          <t>T-24</t>
        </is>
      </c>
      <c r="C34" s="5" t="inlineStr">
        <is>
          <t>FAQ整理(50問)</t>
        </is>
      </c>
      <c r="D34" s="5" t="inlineStr">
        <is>
          <t>コンテンツ</t>
        </is>
      </c>
      <c r="E34" s="5" t="inlineStr">
        <is>
          <t>06/08</t>
        </is>
      </c>
      <c r="F34" s="20" t="inlineStr">
        <is>
          <t>中</t>
        </is>
      </c>
      <c r="G34" s="12" t="inlineStr">
        <is>
          <t>未着手</t>
        </is>
      </c>
      <c r="H34" s="5" t="inlineStr">
        <is>
          <t>AI一括生成→精査→RAG投入</t>
        </is>
      </c>
      <c r="I34" s="5" t="inlineStr">
        <is>
          <t>AI自動化◎</t>
        </is>
      </c>
    </row>
  </sheetData>
  <dataValidations count="1">
    <dataValidation sqref="G2:G6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740C"/>
    <outlinePr summaryBelow="1" summaryRight="1"/>
    <pageSetUpPr/>
  </sheetPr>
  <dimension ref="A1:O5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35" customWidth="1" min="4" max="4"/>
    <col width="40" customWidth="1" min="5" max="5"/>
    <col width="20" customWidth="1" min="6" max="6"/>
    <col width="10" customWidth="1" min="7" max="7"/>
    <col width="6" customWidth="1" min="8" max="8"/>
    <col width="7" customWidth="1" min="9" max="9"/>
    <col width="7" customWidth="1" min="10" max="10"/>
    <col width="8" customWidth="1" min="11" max="11"/>
    <col width="6" customWidth="1" min="12" max="12"/>
    <col width="4" customWidth="1" min="13" max="13"/>
    <col width="20" customWidth="1" min="14" max="14"/>
    <col width="10" customWidth="1" min="15" max="15"/>
  </cols>
  <sheetData>
    <row r="1">
      <c r="A1" s="4" t="inlineStr">
        <is>
          <t>ID</t>
        </is>
      </c>
      <c r="B1" s="4" t="inlineStr">
        <is>
          <t>カテゴリ</t>
        </is>
      </c>
      <c r="C1" s="4" t="inlineStr">
        <is>
          <t>タスク名</t>
        </is>
      </c>
      <c r="D1" s="4" t="inlineStr">
        <is>
          <t>背景/目的</t>
        </is>
      </c>
      <c r="E1" s="4" t="inlineStr">
        <is>
          <t>具体的アクション</t>
        </is>
      </c>
      <c r="F1" s="4" t="inlineStr">
        <is>
          <t>成果物</t>
        </is>
      </c>
      <c r="G1" s="4" t="inlineStr">
        <is>
          <t>担当</t>
        </is>
      </c>
      <c r="H1" s="4" t="inlineStr">
        <is>
          <t>優先度</t>
        </is>
      </c>
      <c r="I1" s="4" t="inlineStr">
        <is>
          <t>開始日</t>
        </is>
      </c>
      <c r="J1" s="4" t="inlineStr">
        <is>
          <t>期限</t>
        </is>
      </c>
      <c r="K1" s="4" t="inlineStr">
        <is>
          <t>ステータス</t>
        </is>
      </c>
      <c r="L1" s="4" t="inlineStr">
        <is>
          <t>進捗%</t>
        </is>
      </c>
      <c r="M1" s="4" t="inlineStr">
        <is>
          <t>自動化</t>
        </is>
      </c>
      <c r="N1" s="4" t="inlineStr">
        <is>
          <t>メモ</t>
        </is>
      </c>
      <c r="O1" s="4" t="inlineStr">
        <is>
          <t>追加日</t>
        </is>
      </c>
    </row>
    <row r="2">
      <c r="A2" s="5" t="inlineStr">
        <is>
          <t>T-01</t>
        </is>
      </c>
      <c r="B2" s="5" t="inlineStr">
        <is>
          <t>収益</t>
        </is>
      </c>
      <c r="C2" s="5" t="inlineStr">
        <is>
          <t>収益モデル初期検証</t>
        </is>
      </c>
      <c r="D2" s="5" t="inlineStr">
        <is>
          <t>全収益モデルが未検証</t>
        </is>
      </c>
      <c r="E2" s="5" t="inlineStr">
        <is>
          <t>反響課金で最初の1件を有料実施→単価・オペレーション検証</t>
        </is>
      </c>
      <c r="F2" s="5" t="inlineStr">
        <is>
          <t>検証結果レポート</t>
        </is>
      </c>
      <c r="G2" s="5" t="inlineStr">
        <is>
          <t>経営</t>
        </is>
      </c>
      <c r="H2" s="19" t="inlineStr">
        <is>
          <t>高</t>
        </is>
      </c>
      <c r="I2" s="5" t="inlineStr">
        <is>
          <t>05/18</t>
        </is>
      </c>
      <c r="J2" s="5" t="inlineStr">
        <is>
          <t>06/05</t>
        </is>
      </c>
      <c r="K2" s="12" t="inlineStr">
        <is>
          <t>未着手</t>
        </is>
      </c>
      <c r="L2" s="5" t="n">
        <v>0</v>
      </c>
      <c r="M2" s="5" t="inlineStr">
        <is>
          <t>D</t>
        </is>
      </c>
      <c r="N2" s="5" t="inlineStr"/>
      <c r="O2" s="5" t="inlineStr">
        <is>
          <t>2026-03-22</t>
        </is>
      </c>
    </row>
    <row r="3">
      <c r="A3" s="5" t="inlineStr">
        <is>
          <t>T-02</t>
        </is>
      </c>
      <c r="B3" s="5" t="inlineStr">
        <is>
          <t>計測</t>
        </is>
      </c>
      <c r="C3" s="5" t="inlineStr">
        <is>
          <t>KPI定義・計測開始</t>
        </is>
      </c>
      <c r="D3" s="5" t="inlineStr">
        <is>
          <t>KPIが定義済みだが計測未開始</t>
        </is>
      </c>
      <c r="E3" s="5" t="inlineStr">
        <is>
          <t>主要5項目選定→計測設計→週次追跡</t>
        </is>
      </c>
      <c r="F3" s="5" t="inlineStr">
        <is>
          <t>KPI一覧・計測設計書</t>
        </is>
      </c>
      <c r="G3" s="5" t="inlineStr">
        <is>
          <t>PM</t>
        </is>
      </c>
      <c r="H3" s="19" t="inlineStr">
        <is>
          <t>高</t>
        </is>
      </c>
      <c r="I3" s="5" t="inlineStr">
        <is>
          <t>03/31</t>
        </is>
      </c>
      <c r="J3" s="5" t="inlineStr">
        <is>
          <t>04/07</t>
        </is>
      </c>
      <c r="K3" s="12" t="inlineStr">
        <is>
          <t>未着手</t>
        </is>
      </c>
      <c r="L3" s="5" t="n">
        <v>0</v>
      </c>
      <c r="M3" s="5" t="inlineStr">
        <is>
          <t>B</t>
        </is>
      </c>
      <c r="N3" s="5" t="inlineStr"/>
      <c r="O3" s="5" t="inlineStr">
        <is>
          <t>2026-03-22</t>
        </is>
      </c>
    </row>
    <row r="4">
      <c r="A4" s="5" t="inlineStr">
        <is>
          <t>T-03</t>
        </is>
      </c>
      <c r="B4" s="5" t="inlineStr">
        <is>
          <t>戦略</t>
        </is>
      </c>
      <c r="C4" s="5" t="inlineStr">
        <is>
          <t>月次P/L作成</t>
        </is>
      </c>
      <c r="D4" s="5" t="inlineStr">
        <is>
          <t>収支が見える化されていない</t>
        </is>
      </c>
      <c r="E4" s="5" t="inlineStr">
        <is>
          <t>月次の収入支出を整理→損益把握</t>
        </is>
      </c>
      <c r="F4" s="5" t="inlineStr">
        <is>
          <t>P/Lテンプレート</t>
        </is>
      </c>
      <c r="G4" s="5" t="inlineStr">
        <is>
          <t>経営</t>
        </is>
      </c>
      <c r="H4" s="19" t="inlineStr">
        <is>
          <t>高</t>
        </is>
      </c>
      <c r="I4" s="5" t="inlineStr">
        <is>
          <t>05/18</t>
        </is>
      </c>
      <c r="J4" s="5" t="inlineStr">
        <is>
          <t>05/25</t>
        </is>
      </c>
      <c r="K4" s="12" t="inlineStr">
        <is>
          <t>未着手</t>
        </is>
      </c>
      <c r="L4" s="5" t="n">
        <v>0</v>
      </c>
      <c r="M4" s="5" t="inlineStr">
        <is>
          <t>B</t>
        </is>
      </c>
      <c r="N4" s="5" t="inlineStr"/>
      <c r="O4" s="5" t="inlineStr">
        <is>
          <t>2026-03-22</t>
        </is>
      </c>
    </row>
    <row r="5">
      <c r="A5" s="5" t="inlineStr">
        <is>
          <t>T-04</t>
        </is>
      </c>
      <c r="B5" s="5" t="inlineStr">
        <is>
          <t>戦略</t>
        </is>
      </c>
      <c r="C5" s="5" t="inlineStr">
        <is>
          <t>ペルソナ3パターン作成</t>
        </is>
      </c>
      <c r="D5" s="5" t="inlineStr">
        <is>
          <t>YouTube実データはあるがペルソナ未言語化</t>
        </is>
      </c>
      <c r="E5" s="5" t="inlineStr">
        <is>
          <t>55-64歳/45-54歳/35-44歳の3パターン具体化</t>
        </is>
      </c>
      <c r="F5" s="5" t="inlineStr">
        <is>
          <t>ペルソナカード3枚</t>
        </is>
      </c>
      <c r="G5" s="5" t="inlineStr">
        <is>
          <t>経営</t>
        </is>
      </c>
      <c r="H5" s="19" t="inlineStr">
        <is>
          <t>高</t>
        </is>
      </c>
      <c r="I5" s="5" t="inlineStr">
        <is>
          <t>03/31</t>
        </is>
      </c>
      <c r="J5" s="5" t="inlineStr">
        <is>
          <t>04/07</t>
        </is>
      </c>
      <c r="K5" s="12" t="inlineStr">
        <is>
          <t>未着手</t>
        </is>
      </c>
      <c r="L5" s="5" t="n">
        <v>0</v>
      </c>
      <c r="M5" s="5" t="inlineStr">
        <is>
          <t>B</t>
        </is>
      </c>
      <c r="N5" s="5" t="inlineStr"/>
      <c r="O5" s="5" t="inlineStr">
        <is>
          <t>2026-03-22</t>
        </is>
      </c>
    </row>
    <row r="6">
      <c r="A6" s="5" t="inlineStr">
        <is>
          <t>T-05</t>
        </is>
      </c>
      <c r="B6" s="5" t="inlineStr">
        <is>
          <t>戦略</t>
        </is>
      </c>
      <c r="C6" s="5" t="inlineStr">
        <is>
          <t>工務店ターゲットリスト50社</t>
        </is>
      </c>
      <c r="D6" s="5" t="inlineStr">
        <is>
          <t>営業先リストが存在しない</t>
        </is>
      </c>
      <c r="E6" s="5" t="inlineStr">
        <is>
          <t>鹿児島・福岡中心に50社リスト作成</t>
        </is>
      </c>
      <c r="F6" s="5" t="inlineStr">
        <is>
          <t>ターゲットリスト</t>
        </is>
      </c>
      <c r="G6" s="5" t="inlineStr">
        <is>
          <t>営業</t>
        </is>
      </c>
      <c r="H6" s="20" t="inlineStr">
        <is>
          <t>中</t>
        </is>
      </c>
      <c r="I6" s="5" t="inlineStr">
        <is>
          <t>04/21</t>
        </is>
      </c>
      <c r="J6" s="5" t="inlineStr">
        <is>
          <t>05/02</t>
        </is>
      </c>
      <c r="K6" s="12" t="inlineStr">
        <is>
          <t>未着手</t>
        </is>
      </c>
      <c r="L6" s="5" t="n">
        <v>0</v>
      </c>
      <c r="M6" s="5" t="inlineStr">
        <is>
          <t>C</t>
        </is>
      </c>
      <c r="N6" s="5" t="inlineStr"/>
      <c r="O6" s="5" t="inlineStr">
        <is>
          <t>2026-03-22</t>
        </is>
      </c>
    </row>
    <row r="7">
      <c r="A7" s="5" t="inlineStr">
        <is>
          <t>T-06</t>
        </is>
      </c>
      <c r="B7" s="5" t="inlineStr">
        <is>
          <t>戦略</t>
        </is>
      </c>
      <c r="C7" s="5" t="inlineStr">
        <is>
          <t>エレベーターピッチ作成</t>
        </is>
      </c>
      <c r="D7" s="5" t="inlineStr">
        <is>
          <t>30秒で事業を説明できる言葉がない</t>
        </is>
      </c>
      <c r="E7" s="5" t="inlineStr">
        <is>
          <t>消費者向け/工務店向け2パターン</t>
        </is>
      </c>
      <c r="F7" s="5" t="inlineStr">
        <is>
          <t>ピッチ文書</t>
        </is>
      </c>
      <c r="G7" s="5" t="inlineStr">
        <is>
          <t>経営</t>
        </is>
      </c>
      <c r="H7" s="19" t="inlineStr">
        <is>
          <t>高</t>
        </is>
      </c>
      <c r="I7" s="5" t="inlineStr">
        <is>
          <t>03/24</t>
        </is>
      </c>
      <c r="J7" s="5" t="inlineStr">
        <is>
          <t>03/28</t>
        </is>
      </c>
      <c r="K7" s="12" t="inlineStr">
        <is>
          <t>未着手</t>
        </is>
      </c>
      <c r="L7" s="5" t="n">
        <v>0</v>
      </c>
      <c r="M7" s="5" t="inlineStr">
        <is>
          <t>B</t>
        </is>
      </c>
      <c r="N7" s="5" t="inlineStr"/>
      <c r="O7" s="5" t="inlineStr">
        <is>
          <t>2026-03-22</t>
        </is>
      </c>
    </row>
    <row r="8">
      <c r="A8" s="5" t="inlineStr">
        <is>
          <t>T-07</t>
        </is>
      </c>
      <c r="B8" s="5" t="inlineStr">
        <is>
          <t>営業</t>
        </is>
      </c>
      <c r="C8" s="5" t="inlineStr">
        <is>
          <t>営業提案書作成</t>
        </is>
      </c>
      <c r="D8" s="5" t="inlineStr">
        <is>
          <t>営業資料がない</t>
        </is>
      </c>
      <c r="E8" s="5" t="inlineStr">
        <is>
          <t>10-15P提案書(事業概要/プラン/料金)</t>
        </is>
      </c>
      <c r="F8" s="5" t="inlineStr">
        <is>
          <t>提案書PDF</t>
        </is>
      </c>
      <c r="G8" s="5" t="inlineStr">
        <is>
          <t>経営</t>
        </is>
      </c>
      <c r="H8" s="19" t="inlineStr">
        <is>
          <t>高</t>
        </is>
      </c>
      <c r="I8" s="5" t="inlineStr">
        <is>
          <t>03/24</t>
        </is>
      </c>
      <c r="J8" s="5" t="inlineStr">
        <is>
          <t>04/04</t>
        </is>
      </c>
      <c r="K8" s="12" t="inlineStr">
        <is>
          <t>未着手</t>
        </is>
      </c>
      <c r="L8" s="5" t="n">
        <v>0</v>
      </c>
      <c r="M8" s="5" t="inlineStr">
        <is>
          <t>B</t>
        </is>
      </c>
      <c r="N8" s="5" t="inlineStr"/>
      <c r="O8" s="5" t="inlineStr">
        <is>
          <t>2026-03-22</t>
        </is>
      </c>
    </row>
    <row r="9">
      <c r="A9" s="5" t="inlineStr">
        <is>
          <t>T-08</t>
        </is>
      </c>
      <c r="B9" s="5" t="inlineStr">
        <is>
          <t>収益</t>
        </is>
      </c>
      <c r="C9" s="5" t="inlineStr">
        <is>
          <t>料金プラン確定</t>
        </is>
      </c>
      <c r="D9" s="5" t="inlineStr">
        <is>
          <t>料金が仮設定</t>
        </is>
      </c>
      <c r="E9" s="5" t="inlineStr">
        <is>
          <t>3プランの価格・内容を確定</t>
        </is>
      </c>
      <c r="F9" s="5" t="inlineStr">
        <is>
          <t>料金プラン表</t>
        </is>
      </c>
      <c r="G9" s="5" t="inlineStr">
        <is>
          <t>経営</t>
        </is>
      </c>
      <c r="H9" s="19" t="inlineStr">
        <is>
          <t>高</t>
        </is>
      </c>
      <c r="I9" s="5" t="inlineStr">
        <is>
          <t>03/31</t>
        </is>
      </c>
      <c r="J9" s="5" t="inlineStr">
        <is>
          <t>04/07</t>
        </is>
      </c>
      <c r="K9" s="12" t="inlineStr">
        <is>
          <t>未着手</t>
        </is>
      </c>
      <c r="L9" s="5" t="n">
        <v>0</v>
      </c>
      <c r="M9" s="5" t="inlineStr">
        <is>
          <t>D</t>
        </is>
      </c>
      <c r="N9" s="5" t="inlineStr"/>
      <c r="O9" s="5" t="inlineStr">
        <is>
          <t>2026-03-22</t>
        </is>
      </c>
    </row>
    <row r="10">
      <c r="A10" s="5" t="inlineStr">
        <is>
          <t>T-09</t>
        </is>
      </c>
      <c r="B10" s="5" t="inlineStr">
        <is>
          <t>計測</t>
        </is>
      </c>
      <c r="C10" s="5" t="inlineStr">
        <is>
          <t>GA4セットアップ</t>
        </is>
      </c>
      <c r="D10" s="5" t="inlineStr">
        <is>
          <t>Webアクセスデータが取れていない</t>
        </is>
      </c>
      <c r="E10" s="5" t="inlineStr">
        <is>
          <t>GA4初期設定→主要イベント計測開始</t>
        </is>
      </c>
      <c r="F10" s="5" t="inlineStr">
        <is>
          <t>GA4稼働</t>
        </is>
      </c>
      <c r="G10" s="5" t="inlineStr">
        <is>
          <t>PM</t>
        </is>
      </c>
      <c r="H10" s="19" t="inlineStr">
        <is>
          <t>高</t>
        </is>
      </c>
      <c r="I10" s="5" t="inlineStr">
        <is>
          <t>03/24</t>
        </is>
      </c>
      <c r="J10" s="5" t="inlineStr">
        <is>
          <t>03/31</t>
        </is>
      </c>
      <c r="K10" s="12" t="inlineStr">
        <is>
          <t>未着手</t>
        </is>
      </c>
      <c r="L10" s="5" t="n">
        <v>0</v>
      </c>
      <c r="M10" s="5" t="inlineStr">
        <is>
          <t>C</t>
        </is>
      </c>
      <c r="N10" s="5" t="inlineStr"/>
      <c r="O10" s="5" t="inlineStr">
        <is>
          <t>2026-03-22</t>
        </is>
      </c>
    </row>
    <row r="11">
      <c r="A11" s="5" t="inlineStr">
        <is>
          <t>T-10</t>
        </is>
      </c>
      <c r="B11" s="5" t="inlineStr">
        <is>
          <t>集客</t>
        </is>
      </c>
      <c r="C11" s="5" t="inlineStr">
        <is>
          <t>YouTube概要欄CTA最適化</t>
        </is>
      </c>
      <c r="D11" s="5" t="inlineStr">
        <is>
          <t>YouTube→Web送客導線が未最適化</t>
        </is>
      </c>
      <c r="E11" s="5" t="inlineStr">
        <is>
          <t>全動画概要欄にURL+CTA追加</t>
        </is>
      </c>
      <c r="F11" s="5" t="inlineStr">
        <is>
          <t>概要欄テンプレート</t>
        </is>
      </c>
      <c r="G11" s="5" t="inlineStr">
        <is>
          <t>マーケ</t>
        </is>
      </c>
      <c r="H11" s="19" t="inlineStr">
        <is>
          <t>高</t>
        </is>
      </c>
      <c r="I11" s="5" t="inlineStr">
        <is>
          <t>04/07</t>
        </is>
      </c>
      <c r="J11" s="5" t="inlineStr">
        <is>
          <t>04/14</t>
        </is>
      </c>
      <c r="K11" s="12" t="inlineStr">
        <is>
          <t>未着手</t>
        </is>
      </c>
      <c r="L11" s="5" t="n">
        <v>0</v>
      </c>
      <c r="M11" s="5" t="inlineStr">
        <is>
          <t>B</t>
        </is>
      </c>
      <c r="N11" s="5" t="inlineStr"/>
      <c r="O11" s="5" t="inlineStr">
        <is>
          <t>2026-03-22</t>
        </is>
      </c>
    </row>
    <row r="12">
      <c r="A12" s="5" t="inlineStr">
        <is>
          <t>T-11</t>
        </is>
      </c>
      <c r="B12" s="5" t="inlineStr">
        <is>
          <t>集客</t>
        </is>
      </c>
      <c r="C12" s="5" t="inlineStr">
        <is>
          <t>SEO記事追加(月3本)</t>
        </is>
      </c>
      <c r="D12" s="5" t="inlineStr">
        <is>
          <t>検索流入が未開拓</t>
        </is>
      </c>
      <c r="E12" s="5" t="inlineStr">
        <is>
          <t>キーワード調査→構成→下書き→公開</t>
        </is>
      </c>
      <c r="F12" s="5" t="inlineStr">
        <is>
          <t>記事3本/月</t>
        </is>
      </c>
      <c r="G12" s="5" t="inlineStr">
        <is>
          <t>コンテンツ</t>
        </is>
      </c>
      <c r="H12" s="20" t="inlineStr">
        <is>
          <t>中</t>
        </is>
      </c>
      <c r="I12" s="5" t="inlineStr">
        <is>
          <t>04/21</t>
        </is>
      </c>
      <c r="J12" s="5" t="inlineStr">
        <is>
          <t>05/15</t>
        </is>
      </c>
      <c r="K12" s="12" t="inlineStr">
        <is>
          <t>未着手</t>
        </is>
      </c>
      <c r="L12" s="5" t="n">
        <v>0</v>
      </c>
      <c r="M12" s="5" t="inlineStr">
        <is>
          <t>B</t>
        </is>
      </c>
      <c r="N12" s="5" t="inlineStr"/>
      <c r="O12" s="5" t="inlineStr">
        <is>
          <t>2026-03-22</t>
        </is>
      </c>
    </row>
    <row r="13">
      <c r="A13" s="5" t="inlineStr">
        <is>
          <t>T-12</t>
        </is>
      </c>
      <c r="B13" s="5" t="inlineStr">
        <is>
          <t>集客</t>
        </is>
      </c>
      <c r="C13" s="5" t="inlineStr">
        <is>
          <t>LINE公式運用開始</t>
        </is>
      </c>
      <c r="D13" s="5" t="inlineStr">
        <is>
          <t>LINEでのCRM未稼働</t>
        </is>
      </c>
      <c r="E13" s="5" t="inlineStr">
        <is>
          <t>開設→友だち追加導線→週次配信</t>
        </is>
      </c>
      <c r="F13" s="5" t="inlineStr">
        <is>
          <t>LINE運用計画</t>
        </is>
      </c>
      <c r="G13" s="5" t="inlineStr">
        <is>
          <t>マーケ</t>
        </is>
      </c>
      <c r="H13" s="20" t="inlineStr">
        <is>
          <t>中</t>
        </is>
      </c>
      <c r="I13" s="5" t="inlineStr">
        <is>
          <t>04/21</t>
        </is>
      </c>
      <c r="J13" s="5" t="inlineStr">
        <is>
          <t>05/02</t>
        </is>
      </c>
      <c r="K13" s="12" t="inlineStr">
        <is>
          <t>未着手</t>
        </is>
      </c>
      <c r="L13" s="5" t="n">
        <v>0</v>
      </c>
      <c r="M13" s="5" t="inlineStr">
        <is>
          <t>C</t>
        </is>
      </c>
      <c r="N13" s="5" t="inlineStr"/>
      <c r="O13" s="5" t="inlineStr">
        <is>
          <t>2026-03-22</t>
        </is>
      </c>
    </row>
    <row r="14">
      <c r="A14" s="5" t="inlineStr">
        <is>
          <t>T-13</t>
        </is>
      </c>
      <c r="B14" s="5" t="inlineStr">
        <is>
          <t>CV</t>
        </is>
      </c>
      <c r="C14" s="5" t="inlineStr">
        <is>
          <t>CV率計測・分析開始</t>
        </is>
      </c>
      <c r="D14" s="5" t="inlineStr">
        <is>
          <t>CV率が不明</t>
        </is>
      </c>
      <c r="E14" s="5" t="inlineStr">
        <is>
          <t>各フォームCV率+チャット転換率を計測</t>
        </is>
      </c>
      <c r="F14" s="5" t="inlineStr">
        <is>
          <t>CV率レポート</t>
        </is>
      </c>
      <c r="G14" s="5" t="inlineStr">
        <is>
          <t>PM</t>
        </is>
      </c>
      <c r="H14" s="19" t="inlineStr">
        <is>
          <t>高</t>
        </is>
      </c>
      <c r="I14" s="5" t="inlineStr">
        <is>
          <t>04/14</t>
        </is>
      </c>
      <c r="J14" s="5" t="inlineStr">
        <is>
          <t>04/21</t>
        </is>
      </c>
      <c r="K14" s="12" t="inlineStr">
        <is>
          <t>未着手</t>
        </is>
      </c>
      <c r="L14" s="5" t="n">
        <v>0</v>
      </c>
      <c r="M14" s="5" t="inlineStr">
        <is>
          <t>B</t>
        </is>
      </c>
      <c r="N14" s="5" t="inlineStr"/>
      <c r="O14" s="5" t="inlineStr">
        <is>
          <t>2026-03-22</t>
        </is>
      </c>
    </row>
    <row r="15">
      <c r="A15" s="5" t="inlineStr">
        <is>
          <t>T-14</t>
        </is>
      </c>
      <c r="B15" s="5" t="inlineStr">
        <is>
          <t>CV</t>
        </is>
      </c>
      <c r="C15" s="5" t="inlineStr">
        <is>
          <t>フォーム離脱率分析</t>
        </is>
      </c>
      <c r="D15" s="5" t="inlineStr">
        <is>
          <t>離脱ポイント不明</t>
        </is>
      </c>
      <c r="E15" s="5" t="inlineStr">
        <is>
          <t>GA4でフォーム到達→送信の離脱率計測</t>
        </is>
      </c>
      <c r="F15" s="5" t="inlineStr">
        <is>
          <t>離脱分析レポート</t>
        </is>
      </c>
      <c r="G15" s="5" t="inlineStr">
        <is>
          <t>PM</t>
        </is>
      </c>
      <c r="H15" s="20" t="inlineStr">
        <is>
          <t>中</t>
        </is>
      </c>
      <c r="I15" s="5" t="inlineStr">
        <is>
          <t>05/18</t>
        </is>
      </c>
      <c r="J15" s="5" t="inlineStr">
        <is>
          <t>06/01</t>
        </is>
      </c>
      <c r="K15" s="12" t="inlineStr">
        <is>
          <t>未着手</t>
        </is>
      </c>
      <c r="L15" s="5" t="n">
        <v>0</v>
      </c>
      <c r="M15" s="5" t="inlineStr">
        <is>
          <t>C</t>
        </is>
      </c>
      <c r="N15" s="5" t="inlineStr"/>
      <c r="O15" s="5" t="inlineStr">
        <is>
          <t>2026-03-22</t>
        </is>
      </c>
    </row>
    <row r="16">
      <c r="A16" s="5" t="inlineStr">
        <is>
          <t>T-15</t>
        </is>
      </c>
      <c r="B16" s="5" t="inlineStr">
        <is>
          <t>データ</t>
        </is>
      </c>
      <c r="C16" s="5" t="inlineStr">
        <is>
          <t>データ活用ロードマップ</t>
        </is>
      </c>
      <c r="D16" s="5" t="inlineStr">
        <is>
          <t>データ活用方針が未確定</t>
        </is>
      </c>
      <c r="E16" s="5" t="inlineStr">
        <is>
          <t>四半期ごとの活用計画定義</t>
        </is>
      </c>
      <c r="F16" s="5" t="inlineStr">
        <is>
          <t>ロードマップ文書</t>
        </is>
      </c>
      <c r="G16" s="5" t="inlineStr">
        <is>
          <t>PM</t>
        </is>
      </c>
      <c r="H16" s="20" t="inlineStr">
        <is>
          <t>中</t>
        </is>
      </c>
      <c r="I16" s="5" t="inlineStr">
        <is>
          <t>05/25</t>
        </is>
      </c>
      <c r="J16" s="5" t="inlineStr">
        <is>
          <t>06/08</t>
        </is>
      </c>
      <c r="K16" s="12" t="inlineStr">
        <is>
          <t>未着手</t>
        </is>
      </c>
      <c r="L16" s="5" t="n">
        <v>0</v>
      </c>
      <c r="M16" s="5" t="inlineStr">
        <is>
          <t>B</t>
        </is>
      </c>
      <c r="N16" s="5" t="inlineStr"/>
      <c r="O16" s="5" t="inlineStr">
        <is>
          <t>2026-03-22</t>
        </is>
      </c>
    </row>
    <row r="17">
      <c r="A17" s="5" t="inlineStr">
        <is>
          <t>T-16</t>
        </is>
      </c>
      <c r="B17" s="5" t="inlineStr">
        <is>
          <t>データ</t>
        </is>
      </c>
      <c r="C17" s="5" t="inlineStr">
        <is>
          <t>月次データレポート作成</t>
        </is>
      </c>
      <c r="D17" s="5" t="inlineStr">
        <is>
          <t>分析レポートの仕組みなし</t>
        </is>
      </c>
      <c r="E17" s="5" t="inlineStr">
        <is>
          <t>行動/チャット/CV/リード品質の雛形</t>
        </is>
      </c>
      <c r="F17" s="5" t="inlineStr">
        <is>
          <t>レポートテンプレート</t>
        </is>
      </c>
      <c r="G17" s="5" t="inlineStr">
        <is>
          <t>PM</t>
        </is>
      </c>
      <c r="H17" s="20" t="inlineStr">
        <is>
          <t>中</t>
        </is>
      </c>
      <c r="I17" s="5" t="inlineStr">
        <is>
          <t>06/01</t>
        </is>
      </c>
      <c r="J17" s="5" t="inlineStr">
        <is>
          <t>06/15</t>
        </is>
      </c>
      <c r="K17" s="12" t="inlineStr">
        <is>
          <t>未着手</t>
        </is>
      </c>
      <c r="L17" s="5" t="n">
        <v>0</v>
      </c>
      <c r="M17" s="5" t="inlineStr">
        <is>
          <t>A</t>
        </is>
      </c>
      <c r="N17" s="5" t="inlineStr"/>
      <c r="O17" s="5" t="inlineStr">
        <is>
          <t>2026-03-22</t>
        </is>
      </c>
    </row>
    <row r="18">
      <c r="A18" s="5" t="inlineStr">
        <is>
          <t>T-17</t>
        </is>
      </c>
      <c r="B18" s="5" t="inlineStr">
        <is>
          <t>営業</t>
        </is>
      </c>
      <c r="C18" s="5" t="inlineStr">
        <is>
          <t>営業提案フロー設計</t>
        </is>
      </c>
      <c r="D18" s="5" t="inlineStr">
        <is>
          <t>提案→契約フロー未設計</t>
        </is>
      </c>
      <c r="E18" s="5" t="inlineStr">
        <is>
          <t>初回接触→提案→トライアル→契約</t>
        </is>
      </c>
      <c r="F18" s="5" t="inlineStr">
        <is>
          <t>営業フロー図</t>
        </is>
      </c>
      <c r="G18" s="5" t="inlineStr">
        <is>
          <t>経営</t>
        </is>
      </c>
      <c r="H18" s="19" t="inlineStr">
        <is>
          <t>高</t>
        </is>
      </c>
      <c r="I18" s="5" t="inlineStr">
        <is>
          <t>03/31</t>
        </is>
      </c>
      <c r="J18" s="5" t="inlineStr">
        <is>
          <t>04/07</t>
        </is>
      </c>
      <c r="K18" s="12" t="inlineStr">
        <is>
          <t>未着手</t>
        </is>
      </c>
      <c r="L18" s="5" t="n">
        <v>0</v>
      </c>
      <c r="M18" s="5" t="inlineStr">
        <is>
          <t>B</t>
        </is>
      </c>
      <c r="N18" s="5" t="inlineStr"/>
      <c r="O18" s="5" t="inlineStr">
        <is>
          <t>2026-03-22</t>
        </is>
      </c>
    </row>
    <row r="19">
      <c r="A19" s="5" t="inlineStr">
        <is>
          <t>T-18</t>
        </is>
      </c>
      <c r="B19" s="5" t="inlineStr">
        <is>
          <t>営業</t>
        </is>
      </c>
      <c r="C19" s="5" t="inlineStr">
        <is>
          <t>契約書テンプレート作成</t>
        </is>
      </c>
      <c r="D19" s="5" t="inlineStr">
        <is>
          <t>契約書がない</t>
        </is>
      </c>
      <c r="E19" s="5" t="inlineStr">
        <is>
          <t>掲載契約/反響課金契約テンプレート</t>
        </is>
      </c>
      <c r="F19" s="5" t="inlineStr">
        <is>
          <t>契約書テンプレート</t>
        </is>
      </c>
      <c r="G19" s="5" t="inlineStr">
        <is>
          <t>経営</t>
        </is>
      </c>
      <c r="H19" s="19" t="inlineStr">
        <is>
          <t>高</t>
        </is>
      </c>
      <c r="I19" s="5" t="inlineStr">
        <is>
          <t>04/07</t>
        </is>
      </c>
      <c r="J19" s="5" t="inlineStr">
        <is>
          <t>04/14</t>
        </is>
      </c>
      <c r="K19" s="12" t="inlineStr">
        <is>
          <t>未着手</t>
        </is>
      </c>
      <c r="L19" s="5" t="n">
        <v>0</v>
      </c>
      <c r="M19" s="5" t="inlineStr">
        <is>
          <t>B</t>
        </is>
      </c>
      <c r="N19" s="5" t="inlineStr"/>
      <c r="O19" s="5" t="inlineStr">
        <is>
          <t>2026-03-22</t>
        </is>
      </c>
    </row>
    <row r="20">
      <c r="A20" s="5" t="inlineStr">
        <is>
          <t>T-19</t>
        </is>
      </c>
      <c r="B20" s="5" t="inlineStr">
        <is>
          <t>営業</t>
        </is>
      </c>
      <c r="C20" s="5" t="inlineStr">
        <is>
          <t>既存取材先へのパートナー提案</t>
        </is>
      </c>
      <c r="D20" s="5" t="inlineStr">
        <is>
          <t>取材関係のみで有料化していない</t>
        </is>
      </c>
      <c r="E20" s="5" t="inlineStr">
        <is>
          <t>取材実績工務店にプラン提案</t>
        </is>
      </c>
      <c r="F20" s="5" t="inlineStr">
        <is>
          <t>提案記録</t>
        </is>
      </c>
      <c r="G20" s="5" t="inlineStr">
        <is>
          <t>経営</t>
        </is>
      </c>
      <c r="H20" s="19" t="inlineStr">
        <is>
          <t>高</t>
        </is>
      </c>
      <c r="I20" s="5" t="inlineStr">
        <is>
          <t>04/07</t>
        </is>
      </c>
      <c r="J20" s="5" t="inlineStr">
        <is>
          <t>04/18</t>
        </is>
      </c>
      <c r="K20" s="12" t="inlineStr">
        <is>
          <t>未着手</t>
        </is>
      </c>
      <c r="L20" s="5" t="n">
        <v>0</v>
      </c>
      <c r="M20" s="5" t="inlineStr">
        <is>
          <t>D</t>
        </is>
      </c>
      <c r="N20" s="5" t="inlineStr"/>
      <c r="O20" s="5" t="inlineStr">
        <is>
          <t>2026-03-22</t>
        </is>
      </c>
    </row>
    <row r="21">
      <c r="A21" s="5" t="inlineStr">
        <is>
          <t>T-20</t>
        </is>
      </c>
      <c r="B21" s="5" t="inlineStr">
        <is>
          <t>営業</t>
        </is>
      </c>
      <c r="C21" s="5" t="inlineStr">
        <is>
          <t>新規工務店アプローチ(月5社)</t>
        </is>
      </c>
      <c r="D21" s="5" t="inlineStr">
        <is>
          <t>新規営業先がない</t>
        </is>
      </c>
      <c r="E21" s="5" t="inlineStr">
        <is>
          <t>リスト→月5社アプローチ</t>
        </is>
      </c>
      <c r="F21" s="5" t="inlineStr">
        <is>
          <t>営業活動記録</t>
        </is>
      </c>
      <c r="G21" s="5" t="inlineStr">
        <is>
          <t>営業</t>
        </is>
      </c>
      <c r="H21" s="20" t="inlineStr">
        <is>
          <t>中</t>
        </is>
      </c>
      <c r="I21" s="5" t="inlineStr">
        <is>
          <t>04/28</t>
        </is>
      </c>
      <c r="J21" s="5" t="inlineStr">
        <is>
          <t>05/22</t>
        </is>
      </c>
      <c r="K21" s="12" t="inlineStr">
        <is>
          <t>未着手</t>
        </is>
      </c>
      <c r="L21" s="5" t="n">
        <v>0</v>
      </c>
      <c r="M21" s="5" t="inlineStr">
        <is>
          <t>D</t>
        </is>
      </c>
      <c r="N21" s="5" t="inlineStr"/>
      <c r="O21" s="5" t="inlineStr">
        <is>
          <t>2026-03-22</t>
        </is>
      </c>
    </row>
    <row r="22">
      <c r="A22" s="5" t="inlineStr">
        <is>
          <t>T-21</t>
        </is>
      </c>
      <c r="B22" s="5" t="inlineStr">
        <is>
          <t>品質</t>
        </is>
      </c>
      <c r="C22" s="5" t="inlineStr">
        <is>
          <t>取材記事の実名化</t>
        </is>
      </c>
      <c r="D22" s="5" t="inlineStr">
        <is>
          <t>社名が仮名(○○工務店)</t>
        </is>
      </c>
      <c r="E22" s="5" t="inlineStr">
        <is>
          <t>掲載許可交渉→実名差し替え</t>
        </is>
      </c>
      <c r="F22" s="5" t="inlineStr">
        <is>
          <t>実名化済み記事</t>
        </is>
      </c>
      <c r="G22" s="5" t="inlineStr">
        <is>
          <t>コンテンツ</t>
        </is>
      </c>
      <c r="H22" s="19" t="inlineStr">
        <is>
          <t>高</t>
        </is>
      </c>
      <c r="I22" s="5" t="inlineStr">
        <is>
          <t>04/07</t>
        </is>
      </c>
      <c r="J22" s="5" t="inlineStr">
        <is>
          <t>04/18</t>
        </is>
      </c>
      <c r="K22" s="12" t="inlineStr">
        <is>
          <t>未着手</t>
        </is>
      </c>
      <c r="L22" s="5" t="n">
        <v>0</v>
      </c>
      <c r="M22" s="5" t="inlineStr">
        <is>
          <t>D</t>
        </is>
      </c>
      <c r="N22" s="5" t="inlineStr"/>
      <c r="O22" s="5" t="inlineStr">
        <is>
          <t>2026-03-22</t>
        </is>
      </c>
    </row>
    <row r="23">
      <c r="A23" s="5" t="inlineStr">
        <is>
          <t>T-22</t>
        </is>
      </c>
      <c r="B23" s="5" t="inlineStr">
        <is>
          <t>コンテンツ</t>
        </is>
      </c>
      <c r="C23" s="5" t="inlineStr">
        <is>
          <t>月次コンテンツカレンダー</t>
        </is>
      </c>
      <c r="D23" s="5" t="inlineStr">
        <is>
          <t>制作計画がない</t>
        </is>
      </c>
      <c r="E23" s="5" t="inlineStr">
        <is>
          <t>月次で記事3+動画4+ニュース2の計画</t>
        </is>
      </c>
      <c r="F23" s="5" t="inlineStr">
        <is>
          <t>カレンダー</t>
        </is>
      </c>
      <c r="G23" s="5" t="inlineStr">
        <is>
          <t>コンテンツ</t>
        </is>
      </c>
      <c r="H23" s="20" t="inlineStr">
        <is>
          <t>中</t>
        </is>
      </c>
      <c r="I23" s="5" t="inlineStr">
        <is>
          <t>04/21</t>
        </is>
      </c>
      <c r="J23" s="5" t="inlineStr">
        <is>
          <t>04/28</t>
        </is>
      </c>
      <c r="K23" s="12" t="inlineStr">
        <is>
          <t>未着手</t>
        </is>
      </c>
      <c r="L23" s="5" t="n">
        <v>0</v>
      </c>
      <c r="M23" s="5" t="inlineStr">
        <is>
          <t>B</t>
        </is>
      </c>
      <c r="N23" s="5" t="inlineStr"/>
      <c r="O23" s="5" t="inlineStr">
        <is>
          <t>2026-03-22</t>
        </is>
      </c>
    </row>
    <row r="24">
      <c r="A24" s="5" t="inlineStr">
        <is>
          <t>T-23</t>
        </is>
      </c>
      <c r="B24" s="5" t="inlineStr">
        <is>
          <t>コンテンツ</t>
        </is>
      </c>
      <c r="C24" s="5" t="inlineStr">
        <is>
          <t>比較コンテンツ制作</t>
        </is>
      </c>
      <c r="D24" s="5" t="inlineStr">
        <is>
          <t>比較記事がない</t>
        </is>
      </c>
      <c r="E24" s="5" t="inlineStr">
        <is>
          <t>工務店比較/性能比較記事3本制作</t>
        </is>
      </c>
      <c r="F24" s="5" t="inlineStr">
        <is>
          <t>比較記事3本</t>
        </is>
      </c>
      <c r="G24" s="5" t="inlineStr">
        <is>
          <t>コンテンツ</t>
        </is>
      </c>
      <c r="H24" s="20" t="inlineStr">
        <is>
          <t>中</t>
        </is>
      </c>
      <c r="I24" s="5" t="inlineStr">
        <is>
          <t>05/18</t>
        </is>
      </c>
      <c r="J24" s="5" t="inlineStr">
        <is>
          <t>06/15</t>
        </is>
      </c>
      <c r="K24" s="12" t="inlineStr">
        <is>
          <t>未着手</t>
        </is>
      </c>
      <c r="L24" s="5" t="n">
        <v>0</v>
      </c>
      <c r="M24" s="5" t="inlineStr">
        <is>
          <t>B</t>
        </is>
      </c>
      <c r="N24" s="5" t="inlineStr"/>
      <c r="O24" s="5" t="inlineStr">
        <is>
          <t>2026-03-22</t>
        </is>
      </c>
    </row>
    <row r="25">
      <c r="A25" s="5" t="inlineStr">
        <is>
          <t>T-24</t>
        </is>
      </c>
      <c r="B25" s="5" t="inlineStr">
        <is>
          <t>コンテンツ</t>
        </is>
      </c>
      <c r="C25" s="5" t="inlineStr">
        <is>
          <t>AIチャット用FAQ整理</t>
        </is>
      </c>
      <c r="D25" s="5" t="inlineStr">
        <is>
          <t>AI回答精度の知識ベース未整理</t>
        </is>
      </c>
      <c r="E25" s="5" t="inlineStr">
        <is>
          <t>FAQ50問+工務店ナレッジ整理</t>
        </is>
      </c>
      <c r="F25" s="5" t="inlineStr">
        <is>
          <t>FAQ一覧</t>
        </is>
      </c>
      <c r="G25" s="5" t="inlineStr">
        <is>
          <t>コンテンツ</t>
        </is>
      </c>
      <c r="H25" s="20" t="inlineStr">
        <is>
          <t>中</t>
        </is>
      </c>
      <c r="I25" s="5" t="inlineStr">
        <is>
          <t>05/25</t>
        </is>
      </c>
      <c r="J25" s="5" t="inlineStr">
        <is>
          <t>06/08</t>
        </is>
      </c>
      <c r="K25" s="12" t="inlineStr">
        <is>
          <t>未着手</t>
        </is>
      </c>
      <c r="L25" s="5" t="n">
        <v>0</v>
      </c>
      <c r="M25" s="5" t="inlineStr">
        <is>
          <t>A</t>
        </is>
      </c>
      <c r="N25" s="5" t="inlineStr"/>
      <c r="O25" s="5" t="inlineStr">
        <is>
          <t>2026-03-22</t>
        </is>
      </c>
    </row>
    <row r="26">
      <c r="A26" s="5" t="inlineStr">
        <is>
          <t>T-25</t>
        </is>
      </c>
      <c r="B26" s="5" t="inlineStr">
        <is>
          <t>品質</t>
        </is>
      </c>
      <c r="C26" s="5" t="inlineStr">
        <is>
          <t>掲載基準・フォーマット策定</t>
        </is>
      </c>
      <c r="D26" s="5" t="inlineStr">
        <is>
          <t>掲載基準がない</t>
        </is>
      </c>
      <c r="E26" s="5" t="inlineStr">
        <is>
          <t>必須/推奨項目・表現ルール策定</t>
        </is>
      </c>
      <c r="F26" s="5" t="inlineStr">
        <is>
          <t>掲載基準書</t>
        </is>
      </c>
      <c r="G26" s="5" t="inlineStr">
        <is>
          <t>コンテンツ</t>
        </is>
      </c>
      <c r="H26" s="19" t="inlineStr">
        <is>
          <t>高</t>
        </is>
      </c>
      <c r="I26" s="5" t="inlineStr">
        <is>
          <t>03/24</t>
        </is>
      </c>
      <c r="J26" s="5" t="inlineStr">
        <is>
          <t>03/31</t>
        </is>
      </c>
      <c r="K26" s="12" t="inlineStr">
        <is>
          <t>未着手</t>
        </is>
      </c>
      <c r="L26" s="5" t="n">
        <v>0</v>
      </c>
      <c r="M26" s="5" t="inlineStr">
        <is>
          <t>B</t>
        </is>
      </c>
      <c r="N26" s="5" t="inlineStr"/>
      <c r="O26" s="5" t="inlineStr">
        <is>
          <t>2026-03-22</t>
        </is>
      </c>
    </row>
    <row r="27">
      <c r="A27" s="5" t="inlineStr">
        <is>
          <t>T-26</t>
        </is>
      </c>
      <c r="B27" s="5" t="inlineStr">
        <is>
          <t>品質</t>
        </is>
      </c>
      <c r="C27" s="5" t="inlineStr">
        <is>
          <t>全ページ文言監査</t>
        </is>
      </c>
      <c r="D27" s="5" t="inlineStr">
        <is>
          <t>品質・一貫性が未確認</t>
        </is>
      </c>
      <c r="E27" s="5" t="inlineStr">
        <is>
          <t>全ページ巡回→問題リスト化</t>
        </is>
      </c>
      <c r="F27" s="5" t="inlineStr">
        <is>
          <t>監査シート</t>
        </is>
      </c>
      <c r="G27" s="5" t="inlineStr">
        <is>
          <t>コンテンツ</t>
        </is>
      </c>
      <c r="H27" s="19" t="inlineStr">
        <is>
          <t>高</t>
        </is>
      </c>
      <c r="I27" s="5" t="inlineStr">
        <is>
          <t>03/24</t>
        </is>
      </c>
      <c r="J27" s="5" t="inlineStr">
        <is>
          <t>04/07</t>
        </is>
      </c>
      <c r="K27" s="12" t="inlineStr">
        <is>
          <t>未着手</t>
        </is>
      </c>
      <c r="L27" s="5" t="n">
        <v>0</v>
      </c>
      <c r="M27" s="5" t="inlineStr">
        <is>
          <t>B</t>
        </is>
      </c>
      <c r="N27" s="5" t="inlineStr"/>
      <c r="O27" s="5" t="inlineStr">
        <is>
          <t>2026-03-22</t>
        </is>
      </c>
    </row>
    <row r="28">
      <c r="A28" s="5" t="inlineStr">
        <is>
          <t>T-27</t>
        </is>
      </c>
      <c r="B28" s="5" t="inlineStr">
        <is>
          <t>品質</t>
        </is>
      </c>
      <c r="C28" s="5" t="inlineStr">
        <is>
          <t>再ヒアリング項目整理</t>
        </is>
      </c>
      <c r="D28" s="5" t="inlineStr">
        <is>
          <t>不足情報の整理</t>
        </is>
      </c>
      <c r="E28" s="5" t="inlineStr">
        <is>
          <t>質問シート作成</t>
        </is>
      </c>
      <c r="F28" s="5" t="inlineStr">
        <is>
          <t>質問シート</t>
        </is>
      </c>
      <c r="G28" s="5" t="inlineStr">
        <is>
          <t>コンテンツ</t>
        </is>
      </c>
      <c r="H28" s="19" t="inlineStr">
        <is>
          <t>高</t>
        </is>
      </c>
      <c r="I28" s="5" t="inlineStr">
        <is>
          <t>03/31</t>
        </is>
      </c>
      <c r="J28" s="5" t="inlineStr">
        <is>
          <t>04/07</t>
        </is>
      </c>
      <c r="K28" s="12" t="inlineStr">
        <is>
          <t>未着手</t>
        </is>
      </c>
      <c r="L28" s="5" t="n">
        <v>0</v>
      </c>
      <c r="M28" s="5" t="inlineStr">
        <is>
          <t>B</t>
        </is>
      </c>
      <c r="N28" s="5" t="inlineStr"/>
      <c r="O28" s="5" t="inlineStr">
        <is>
          <t>2026-03-22</t>
        </is>
      </c>
    </row>
    <row r="29">
      <c r="A29" s="5" t="inlineStr">
        <is>
          <t>T-28</t>
        </is>
      </c>
      <c r="B29" s="5" t="inlineStr">
        <is>
          <t>品質</t>
        </is>
      </c>
      <c r="C29" s="5" t="inlineStr">
        <is>
          <t>工務店再ヒアリング実施</t>
        </is>
      </c>
      <c r="D29" s="5" t="inlineStr">
        <is>
          <t>実データ化のため</t>
        </is>
      </c>
      <c r="E29" s="5" t="inlineStr">
        <is>
          <t>パートナー候補にヒアリング</t>
        </is>
      </c>
      <c r="F29" s="5" t="inlineStr">
        <is>
          <t>記録</t>
        </is>
      </c>
      <c r="G29" s="5" t="inlineStr">
        <is>
          <t>営業</t>
        </is>
      </c>
      <c r="H29" s="19" t="inlineStr">
        <is>
          <t>高</t>
        </is>
      </c>
      <c r="I29" s="5" t="inlineStr">
        <is>
          <t>04/07</t>
        </is>
      </c>
      <c r="J29" s="5" t="inlineStr">
        <is>
          <t>04/21</t>
        </is>
      </c>
      <c r="K29" s="12" t="inlineStr">
        <is>
          <t>未着手</t>
        </is>
      </c>
      <c r="L29" s="5" t="n">
        <v>0</v>
      </c>
      <c r="M29" s="5" t="inlineStr">
        <is>
          <t>D</t>
        </is>
      </c>
      <c r="N29" s="5" t="inlineStr"/>
      <c r="O29" s="5" t="inlineStr">
        <is>
          <t>2026-03-22</t>
        </is>
      </c>
    </row>
    <row r="30">
      <c r="A30" s="5" t="inlineStr">
        <is>
          <t>T-29</t>
        </is>
      </c>
      <c r="B30" s="5" t="inlineStr">
        <is>
          <t>品質</t>
        </is>
      </c>
      <c r="C30" s="5" t="inlineStr">
        <is>
          <t>リライト実施(優先5件)</t>
        </is>
      </c>
      <c r="D30" s="5" t="inlineStr">
        <is>
          <t>品質改善</t>
        </is>
      </c>
      <c r="E30" s="5" t="inlineStr">
        <is>
          <t>監査結果→リライト→公開</t>
        </is>
      </c>
      <c r="F30" s="5" t="inlineStr">
        <is>
          <t>リライト完了</t>
        </is>
      </c>
      <c r="G30" s="5" t="inlineStr">
        <is>
          <t>コンテンツ</t>
        </is>
      </c>
      <c r="H30" s="20" t="inlineStr">
        <is>
          <t>中</t>
        </is>
      </c>
      <c r="I30" s="5" t="inlineStr">
        <is>
          <t>04/14</t>
        </is>
      </c>
      <c r="J30" s="5" t="inlineStr">
        <is>
          <t>04/25</t>
        </is>
      </c>
      <c r="K30" s="12" t="inlineStr">
        <is>
          <t>未着手</t>
        </is>
      </c>
      <c r="L30" s="5" t="n">
        <v>0</v>
      </c>
      <c r="M30" s="5" t="inlineStr">
        <is>
          <t>B</t>
        </is>
      </c>
      <c r="N30" s="5" t="inlineStr"/>
      <c r="O30" s="5" t="inlineStr">
        <is>
          <t>2026-03-22</t>
        </is>
      </c>
    </row>
    <row r="31">
      <c r="A31" s="5" t="inlineStr">
        <is>
          <t>T-30</t>
        </is>
      </c>
      <c r="B31" s="5" t="inlineStr">
        <is>
          <t>品質</t>
        </is>
      </c>
      <c r="C31" s="5" t="inlineStr">
        <is>
          <t>SEOメタデータ一括入力</t>
        </is>
      </c>
      <c r="D31" s="5" t="inlineStr">
        <is>
          <t>メタデータ大部分未入力</t>
        </is>
      </c>
      <c r="E31" s="5" t="inlineStr">
        <is>
          <t>AI一括生成(80件)→レビュー</t>
        </is>
      </c>
      <c r="F31" s="5" t="inlineStr">
        <is>
          <t>入力完了</t>
        </is>
      </c>
      <c r="G31" s="5" t="inlineStr">
        <is>
          <t>コンテンツ</t>
        </is>
      </c>
      <c r="H31" s="20" t="inlineStr">
        <is>
          <t>中</t>
        </is>
      </c>
      <c r="I31" s="5" t="inlineStr">
        <is>
          <t>04/21</t>
        </is>
      </c>
      <c r="J31" s="5" t="inlineStr">
        <is>
          <t>05/02</t>
        </is>
      </c>
      <c r="K31" s="12" t="inlineStr">
        <is>
          <t>未着手</t>
        </is>
      </c>
      <c r="L31" s="5" t="n">
        <v>0</v>
      </c>
      <c r="M31" s="5" t="inlineStr">
        <is>
          <t>A</t>
        </is>
      </c>
      <c r="N31" s="5" t="inlineStr"/>
      <c r="O31" s="5" t="inlineStr">
        <is>
          <t>2026-03-22</t>
        </is>
      </c>
    </row>
    <row r="32">
      <c r="A32" s="5" t="inlineStr">
        <is>
          <t>T-31</t>
        </is>
      </c>
      <c r="B32" s="5" t="inlineStr">
        <is>
          <t>品質</t>
        </is>
      </c>
      <c r="C32" s="5" t="inlineStr">
        <is>
          <t>マガジン表紙画像制作</t>
        </is>
      </c>
      <c r="D32" s="5" t="inlineStr">
        <is>
          <t>表紙画像が全号欠如</t>
        </is>
      </c>
      <c r="E32" s="5" t="inlineStr">
        <is>
          <t>デザイン制作(8点)</t>
        </is>
      </c>
      <c r="F32" s="5" t="inlineStr">
        <is>
          <t>表紙画像8点</t>
        </is>
      </c>
      <c r="G32" s="5" t="inlineStr">
        <is>
          <t>コンテンツ</t>
        </is>
      </c>
      <c r="H32" s="20" t="inlineStr">
        <is>
          <t>中</t>
        </is>
      </c>
      <c r="I32" s="5" t="inlineStr">
        <is>
          <t>04/28</t>
        </is>
      </c>
      <c r="J32" s="5" t="inlineStr">
        <is>
          <t>05/15</t>
        </is>
      </c>
      <c r="K32" s="12" t="inlineStr">
        <is>
          <t>未着手</t>
        </is>
      </c>
      <c r="L32" s="5" t="n">
        <v>0</v>
      </c>
      <c r="M32" s="5" t="inlineStr">
        <is>
          <t>C</t>
        </is>
      </c>
      <c r="N32" s="5" t="inlineStr"/>
      <c r="O32" s="5" t="inlineStr">
        <is>
          <t>2026-03-22</t>
        </is>
      </c>
    </row>
    <row r="33">
      <c r="A33" s="5" t="inlineStr">
        <is>
          <t>T-32</t>
        </is>
      </c>
      <c r="B33" s="5" t="inlineStr">
        <is>
          <t>オペ</t>
        </is>
      </c>
      <c r="C33" s="5" t="inlineStr">
        <is>
          <t>問い合わせ対応フロー設計</t>
        </is>
      </c>
      <c r="D33" s="5" t="inlineStr">
        <is>
          <t>対応フローがない</t>
        </is>
      </c>
      <c r="E33" s="5" t="inlineStr">
        <is>
          <t>受信→対応→紹介→フォロー設計</t>
        </is>
      </c>
      <c r="F33" s="5" t="inlineStr">
        <is>
          <t>フロー図+マニュアル</t>
        </is>
      </c>
      <c r="G33" s="5" t="inlineStr">
        <is>
          <t>経営</t>
        </is>
      </c>
      <c r="H33" s="19" t="inlineStr">
        <is>
          <t>高</t>
        </is>
      </c>
      <c r="I33" s="5" t="inlineStr">
        <is>
          <t>03/24</t>
        </is>
      </c>
      <c r="J33" s="5" t="inlineStr">
        <is>
          <t>04/04</t>
        </is>
      </c>
      <c r="K33" s="12" t="inlineStr">
        <is>
          <t>未着手</t>
        </is>
      </c>
      <c r="L33" s="5" t="n">
        <v>0</v>
      </c>
      <c r="M33" s="5" t="inlineStr">
        <is>
          <t>B</t>
        </is>
      </c>
      <c r="N33" s="5" t="inlineStr"/>
      <c r="O33" s="5" t="inlineStr">
        <is>
          <t>2026-03-22</t>
        </is>
      </c>
    </row>
    <row r="34">
      <c r="A34" s="5" t="inlineStr">
        <is>
          <t>T-33</t>
        </is>
      </c>
      <c r="B34" s="5" t="inlineStr">
        <is>
          <t>オペ</t>
        </is>
      </c>
      <c r="C34" s="5" t="inlineStr">
        <is>
          <t>反響受け渡しフロー設計</t>
        </is>
      </c>
      <c r="D34" s="5" t="inlineStr">
        <is>
          <t>リード共有の仕組みなし</t>
        </is>
      </c>
      <c r="E34" s="5" t="inlineStr">
        <is>
          <t>共有方法・タイミング・フォーマット設計</t>
        </is>
      </c>
      <c r="F34" s="5" t="inlineStr">
        <is>
          <t>フロー図</t>
        </is>
      </c>
      <c r="G34" s="5" t="inlineStr">
        <is>
          <t>経営</t>
        </is>
      </c>
      <c r="H34" s="19" t="inlineStr">
        <is>
          <t>高</t>
        </is>
      </c>
      <c r="I34" s="5" t="inlineStr">
        <is>
          <t>04/14</t>
        </is>
      </c>
      <c r="J34" s="5" t="inlineStr">
        <is>
          <t>04/21</t>
        </is>
      </c>
      <c r="K34" s="12" t="inlineStr">
        <is>
          <t>未着手</t>
        </is>
      </c>
      <c r="L34" s="5" t="n">
        <v>0</v>
      </c>
      <c r="M34" s="5" t="inlineStr">
        <is>
          <t>B</t>
        </is>
      </c>
      <c r="N34" s="5" t="inlineStr"/>
      <c r="O34" s="5" t="inlineStr">
        <is>
          <t>2026-03-22</t>
        </is>
      </c>
    </row>
    <row r="35">
      <c r="A35" s="5" t="inlineStr">
        <is>
          <t>T-34</t>
        </is>
      </c>
      <c r="B35" s="5" t="inlineStr">
        <is>
          <t>オペ</t>
        </is>
      </c>
      <c r="C35" s="5" t="inlineStr">
        <is>
          <t>SLA設定</t>
        </is>
      </c>
      <c r="D35" s="5" t="inlineStr">
        <is>
          <t>対応スピード基準なし</t>
        </is>
      </c>
      <c r="E35" s="5" t="inlineStr">
        <is>
          <t>初期対応時間・紹介までの日数定義</t>
        </is>
      </c>
      <c r="F35" s="5" t="inlineStr">
        <is>
          <t>SLA定義書</t>
        </is>
      </c>
      <c r="G35" s="5" t="inlineStr">
        <is>
          <t>経営</t>
        </is>
      </c>
      <c r="H35" s="20" t="inlineStr">
        <is>
          <t>中</t>
        </is>
      </c>
      <c r="I35" s="5" t="inlineStr">
        <is>
          <t>06/01</t>
        </is>
      </c>
      <c r="J35" s="5" t="inlineStr">
        <is>
          <t>06/08</t>
        </is>
      </c>
      <c r="K35" s="12" t="inlineStr">
        <is>
          <t>未着手</t>
        </is>
      </c>
      <c r="L35" s="5" t="n">
        <v>0</v>
      </c>
      <c r="M35" s="5" t="inlineStr">
        <is>
          <t>C</t>
        </is>
      </c>
      <c r="N35" s="5" t="inlineStr"/>
      <c r="O35" s="5" t="inlineStr">
        <is>
          <t>2026-03-22</t>
        </is>
      </c>
    </row>
    <row r="36">
      <c r="A36" s="5" t="inlineStr">
        <is>
          <t>T-35</t>
        </is>
      </c>
      <c r="B36" s="5" t="inlineStr">
        <is>
          <t>収益</t>
        </is>
      </c>
      <c r="C36" s="5" t="inlineStr">
        <is>
          <t>初期プラン価格確定</t>
        </is>
      </c>
      <c r="D36" s="5" t="inlineStr">
        <is>
          <t>料金が仮設定</t>
        </is>
      </c>
      <c r="E36" s="5" t="inlineStr">
        <is>
          <t>競合調査→原価計算→3プラン価格確定</t>
        </is>
      </c>
      <c r="F36" s="5" t="inlineStr">
        <is>
          <t>確定料金プラン</t>
        </is>
      </c>
      <c r="G36" s="5" t="inlineStr">
        <is>
          <t>経営</t>
        </is>
      </c>
      <c r="H36" s="19" t="inlineStr">
        <is>
          <t>高</t>
        </is>
      </c>
      <c r="I36" s="5" t="inlineStr">
        <is>
          <t>03/31</t>
        </is>
      </c>
      <c r="J36" s="5" t="inlineStr">
        <is>
          <t>04/07</t>
        </is>
      </c>
      <c r="K36" s="12" t="inlineStr">
        <is>
          <t>未着手</t>
        </is>
      </c>
      <c r="L36" s="5" t="n">
        <v>0</v>
      </c>
      <c r="M36" s="5" t="inlineStr">
        <is>
          <t>D</t>
        </is>
      </c>
      <c r="N36" s="5" t="inlineStr"/>
      <c r="O36" s="5" t="inlineStr">
        <is>
          <t>2026-03-22</t>
        </is>
      </c>
    </row>
    <row r="37">
      <c r="A37" s="5" t="inlineStr">
        <is>
          <t>T-36</t>
        </is>
      </c>
      <c r="B37" s="5" t="inlineStr">
        <is>
          <t>収益</t>
        </is>
      </c>
      <c r="C37" s="5" t="inlineStr">
        <is>
          <t>初期パートナー1社獲得</t>
        </is>
      </c>
      <c r="D37" s="5" t="inlineStr">
        <is>
          <t>売上実績ゼロ</t>
        </is>
      </c>
      <c r="E37" s="5" t="inlineStr">
        <is>
          <t>取材先から有料パートナー獲得</t>
        </is>
      </c>
      <c r="F37" s="5" t="inlineStr">
        <is>
          <t>契約書+請求書</t>
        </is>
      </c>
      <c r="G37" s="5" t="inlineStr">
        <is>
          <t>経営</t>
        </is>
      </c>
      <c r="H37" s="19" t="inlineStr">
        <is>
          <t>高</t>
        </is>
      </c>
      <c r="I37" s="5" t="inlineStr">
        <is>
          <t>04/14</t>
        </is>
      </c>
      <c r="J37" s="5" t="inlineStr">
        <is>
          <t>04/25</t>
        </is>
      </c>
      <c r="K37" s="12" t="inlineStr">
        <is>
          <t>未着手</t>
        </is>
      </c>
      <c r="L37" s="5" t="n">
        <v>0</v>
      </c>
      <c r="M37" s="5" t="inlineStr">
        <is>
          <t>D</t>
        </is>
      </c>
      <c r="N37" s="5" t="inlineStr"/>
      <c r="O37" s="5" t="inlineStr">
        <is>
          <t>2026-03-22</t>
        </is>
      </c>
    </row>
    <row r="38">
      <c r="A38" s="5" t="inlineStr">
        <is>
          <t>T-37</t>
        </is>
      </c>
      <c r="B38" s="5" t="inlineStr">
        <is>
          <t>収益</t>
        </is>
      </c>
      <c r="C38" s="5" t="inlineStr">
        <is>
          <t>請求・入金フロー構築</t>
        </is>
      </c>
      <c r="D38" s="5" t="inlineStr">
        <is>
          <t>請求の仕組みなし</t>
        </is>
      </c>
      <c r="E38" s="5" t="inlineStr">
        <is>
          <t>請求書発行→入金確認→消込</t>
        </is>
      </c>
      <c r="F38" s="5" t="inlineStr">
        <is>
          <t>フロー+テンプレート</t>
        </is>
      </c>
      <c r="G38" s="5" t="inlineStr">
        <is>
          <t>経営</t>
        </is>
      </c>
      <c r="H38" s="20" t="inlineStr">
        <is>
          <t>中</t>
        </is>
      </c>
      <c r="I38" s="5" t="inlineStr">
        <is>
          <t>04/28</t>
        </is>
      </c>
      <c r="J38" s="5" t="inlineStr">
        <is>
          <t>05/09</t>
        </is>
      </c>
      <c r="K38" s="12" t="inlineStr">
        <is>
          <t>未着手</t>
        </is>
      </c>
      <c r="L38" s="5" t="n">
        <v>0</v>
      </c>
      <c r="M38" s="5" t="inlineStr">
        <is>
          <t>B</t>
        </is>
      </c>
      <c r="N38" s="5" t="inlineStr"/>
      <c r="O38" s="5" t="inlineStr">
        <is>
          <t>2026-03-22</t>
        </is>
      </c>
    </row>
    <row r="39">
      <c r="A39" s="5" t="inlineStr">
        <is>
          <t>T-38</t>
        </is>
      </c>
      <c r="B39" s="5" t="inlineStr">
        <is>
          <t>計測</t>
        </is>
      </c>
      <c r="C39" s="5" t="inlineStr">
        <is>
          <t>週次KPIレポート開始</t>
        </is>
      </c>
      <c r="D39" s="5" t="inlineStr">
        <is>
          <t>KPIを追う習慣なし</t>
        </is>
      </c>
      <c r="E39" s="5" t="inlineStr">
        <is>
          <t>毎週月曜15分ミーティング設定</t>
        </is>
      </c>
      <c r="F39" s="5" t="inlineStr">
        <is>
          <t>テンプレート+会議体</t>
        </is>
      </c>
      <c r="G39" s="5" t="inlineStr">
        <is>
          <t>PM</t>
        </is>
      </c>
      <c r="H39" s="19" t="inlineStr">
        <is>
          <t>高</t>
        </is>
      </c>
      <c r="I39" s="5" t="inlineStr">
        <is>
          <t>04/14</t>
        </is>
      </c>
      <c r="J39" s="5" t="inlineStr">
        <is>
          <t>04/21</t>
        </is>
      </c>
      <c r="K39" s="12" t="inlineStr">
        <is>
          <t>未着手</t>
        </is>
      </c>
      <c r="L39" s="5" t="n">
        <v>0</v>
      </c>
      <c r="M39" s="5" t="inlineStr">
        <is>
          <t>A</t>
        </is>
      </c>
      <c r="N39" s="5" t="inlineStr"/>
      <c r="O39" s="5" t="inlineStr">
        <is>
          <t>2026-03-22</t>
        </is>
      </c>
    </row>
    <row r="40">
      <c r="A40" s="5" t="inlineStr">
        <is>
          <t>T-39</t>
        </is>
      </c>
      <c r="B40" s="5" t="inlineStr">
        <is>
          <t>計測</t>
        </is>
      </c>
      <c r="C40" s="5" t="inlineStr">
        <is>
          <t>月次レビュー会議設定</t>
        </is>
      </c>
      <c r="D40" s="5" t="inlineStr">
        <is>
          <t>月次振り返りの場なし</t>
        </is>
      </c>
      <c r="E40" s="5" t="inlineStr">
        <is>
          <t>毎月末1時間の定型会議</t>
        </is>
      </c>
      <c r="F40" s="5" t="inlineStr">
        <is>
          <t>アジェンダテンプレート</t>
        </is>
      </c>
      <c r="G40" s="5" t="inlineStr">
        <is>
          <t>PM</t>
        </is>
      </c>
      <c r="H40" s="20" t="inlineStr">
        <is>
          <t>中</t>
        </is>
      </c>
      <c r="I40" s="5" t="inlineStr">
        <is>
          <t>05/04</t>
        </is>
      </c>
      <c r="J40" s="5" t="inlineStr">
        <is>
          <t>05/11</t>
        </is>
      </c>
      <c r="K40" s="12" t="inlineStr">
        <is>
          <t>未着手</t>
        </is>
      </c>
      <c r="L40" s="5" t="n">
        <v>0</v>
      </c>
      <c r="M40" s="5" t="inlineStr">
        <is>
          <t>A</t>
        </is>
      </c>
      <c r="N40" s="5" t="inlineStr"/>
      <c r="O40" s="5" t="inlineStr">
        <is>
          <t>2026-03-22</t>
        </is>
      </c>
    </row>
    <row r="41">
      <c r="A41" s="5" t="inlineStr">
        <is>
          <t>T-40</t>
        </is>
      </c>
      <c r="B41" s="5" t="inlineStr">
        <is>
          <t>戦略</t>
        </is>
      </c>
      <c r="C41" s="5" t="inlineStr">
        <is>
          <t>四半期マイルストーン設定</t>
        </is>
      </c>
      <c r="D41" s="5" t="inlineStr">
        <is>
          <t>四半期目標がない</t>
        </is>
      </c>
      <c r="E41" s="5" t="inlineStr">
        <is>
          <t>Q2/Q3/Q4の売上/パートナー/ユーザー目標</t>
        </is>
      </c>
      <c r="F41" s="5" t="inlineStr">
        <is>
          <t>マイルストーン表</t>
        </is>
      </c>
      <c r="G41" s="5" t="inlineStr">
        <is>
          <t>経営</t>
        </is>
      </c>
      <c r="H41" s="19" t="inlineStr">
        <is>
          <t>高</t>
        </is>
      </c>
      <c r="I41" s="5" t="inlineStr">
        <is>
          <t>03/31</t>
        </is>
      </c>
      <c r="J41" s="5" t="inlineStr">
        <is>
          <t>04/07</t>
        </is>
      </c>
      <c r="K41" s="12" t="inlineStr">
        <is>
          <t>未着手</t>
        </is>
      </c>
      <c r="L41" s="5" t="n">
        <v>0</v>
      </c>
      <c r="M41" s="5" t="inlineStr">
        <is>
          <t>C</t>
        </is>
      </c>
      <c r="N41" s="5" t="inlineStr"/>
      <c r="O41" s="5" t="inlineStr">
        <is>
          <t>2026-03-22</t>
        </is>
      </c>
    </row>
    <row r="42">
      <c r="A42" s="5" t="inlineStr">
        <is>
          <t>T-41</t>
        </is>
      </c>
      <c r="B42" s="5" t="inlineStr">
        <is>
          <t>戦略</t>
        </is>
      </c>
      <c r="C42" s="5" t="inlineStr">
        <is>
          <t>年間事業計画策定</t>
        </is>
      </c>
      <c r="D42" s="5" t="inlineStr">
        <is>
          <t>年間計画なし</t>
        </is>
      </c>
      <c r="E42" s="5" t="inlineStr">
        <is>
          <t>年間売上/投資/人員計画</t>
        </is>
      </c>
      <c r="F42" s="5" t="inlineStr">
        <is>
          <t>事業計画書</t>
        </is>
      </c>
      <c r="G42" s="5" t="inlineStr">
        <is>
          <t>経営</t>
        </is>
      </c>
      <c r="H42" s="20" t="inlineStr">
        <is>
          <t>中</t>
        </is>
      </c>
      <c r="I42" s="5" t="inlineStr">
        <is>
          <t>06/01</t>
        </is>
      </c>
      <c r="J42" s="5" t="inlineStr">
        <is>
          <t>06/15</t>
        </is>
      </c>
      <c r="K42" s="12" t="inlineStr">
        <is>
          <t>未着手</t>
        </is>
      </c>
      <c r="L42" s="5" t="n">
        <v>0</v>
      </c>
      <c r="M42" s="5" t="inlineStr">
        <is>
          <t>C</t>
        </is>
      </c>
      <c r="N42" s="5" t="inlineStr"/>
      <c r="O42" s="5" t="inlineStr">
        <is>
          <t>2026-03-22</t>
        </is>
      </c>
    </row>
    <row r="43">
      <c r="A43" s="5" t="inlineStr">
        <is>
          <t>T-42</t>
        </is>
      </c>
      <c r="B43" s="5" t="inlineStr">
        <is>
          <t>品質</t>
        </is>
      </c>
      <c r="C43" s="5" t="inlineStr">
        <is>
          <t>構造化データ入力</t>
        </is>
      </c>
      <c r="D43" s="5" t="inlineStr">
        <is>
          <t>AI推薦用データ入力ゼロ</t>
        </is>
      </c>
      <c r="E43" s="5" t="inlineStr">
        <is>
          <t>デザインテイスト/性能/顧客像を入力</t>
        </is>
      </c>
      <c r="F43" s="5" t="inlineStr">
        <is>
          <t>入力ガイド</t>
        </is>
      </c>
      <c r="G43" s="5" t="inlineStr">
        <is>
          <t>コンテンツ</t>
        </is>
      </c>
      <c r="H43" s="20" t="inlineStr">
        <is>
          <t>中</t>
        </is>
      </c>
      <c r="I43" s="5" t="inlineStr">
        <is>
          <t>05/04</t>
        </is>
      </c>
      <c r="J43" s="5" t="inlineStr">
        <is>
          <t>05/22</t>
        </is>
      </c>
      <c r="K43" s="12" t="inlineStr">
        <is>
          <t>未着手</t>
        </is>
      </c>
      <c r="L43" s="5" t="n">
        <v>0</v>
      </c>
      <c r="M43" s="5" t="inlineStr">
        <is>
          <t>B</t>
        </is>
      </c>
      <c r="N43" s="5" t="inlineStr"/>
      <c r="O43" s="5" t="inlineStr">
        <is>
          <t>2026-03-22</t>
        </is>
      </c>
    </row>
    <row r="44">
      <c r="A44" s="5" t="inlineStr">
        <is>
          <t>T-43</t>
        </is>
      </c>
      <c r="B44" s="5" t="inlineStr">
        <is>
          <t>品質</t>
        </is>
      </c>
      <c r="C44" s="5" t="inlineStr">
        <is>
          <t>継続的品質管理の運用設計</t>
        </is>
      </c>
      <c r="D44" s="5" t="inlineStr">
        <is>
          <t>劣化防止の仕組みなし</t>
        </is>
      </c>
      <c r="E44" s="5" t="inlineStr">
        <is>
          <t>四半期レビュー/年次更新フロー設計</t>
        </is>
      </c>
      <c r="F44" s="5" t="inlineStr">
        <is>
          <t>運用フロー</t>
        </is>
      </c>
      <c r="G44" s="5" t="inlineStr">
        <is>
          <t>PM</t>
        </is>
      </c>
      <c r="H44" s="5" t="inlineStr">
        <is>
          <t>低</t>
        </is>
      </c>
      <c r="I44" s="5" t="inlineStr">
        <is>
          <t>06/08</t>
        </is>
      </c>
      <c r="J44" s="5" t="inlineStr">
        <is>
          <t>06/22</t>
        </is>
      </c>
      <c r="K44" s="12" t="inlineStr">
        <is>
          <t>未着手</t>
        </is>
      </c>
      <c r="L44" s="5" t="n">
        <v>0</v>
      </c>
      <c r="M44" s="5" t="inlineStr">
        <is>
          <t>B</t>
        </is>
      </c>
      <c r="N44" s="5" t="inlineStr"/>
      <c r="O44" s="5" t="inlineStr">
        <is>
          <t>2026-03-22</t>
        </is>
      </c>
    </row>
    <row r="45">
      <c r="A45" s="5" t="inlineStr">
        <is>
          <t>T-44</t>
        </is>
      </c>
      <c r="B45" s="5" t="inlineStr">
        <is>
          <t>品質</t>
        </is>
      </c>
      <c r="C45" s="5" t="inlineStr">
        <is>
          <t>物件ページ画像整備</t>
        </is>
      </c>
      <c r="D45" s="5" t="inlineStr">
        <is>
          <t>写真がプレースホルダー</t>
        </is>
      </c>
      <c r="E45" s="5" t="inlineStr">
        <is>
          <t>実写真撮影/収集→差し替え</t>
        </is>
      </c>
      <c r="F45" s="5" t="inlineStr">
        <is>
          <t>物件写真</t>
        </is>
      </c>
      <c r="G45" s="5" t="inlineStr">
        <is>
          <t>コンテンツ</t>
        </is>
      </c>
      <c r="H45" s="20" t="inlineStr">
        <is>
          <t>中</t>
        </is>
      </c>
      <c r="I45" s="5" t="inlineStr">
        <is>
          <t>05/18</t>
        </is>
      </c>
      <c r="J45" s="5" t="inlineStr">
        <is>
          <t>06/15</t>
        </is>
      </c>
      <c r="K45" s="12" t="inlineStr">
        <is>
          <t>未着手</t>
        </is>
      </c>
      <c r="L45" s="5" t="n">
        <v>0</v>
      </c>
      <c r="M45" s="5" t="inlineStr">
        <is>
          <t>D</t>
        </is>
      </c>
      <c r="N45" s="5" t="inlineStr"/>
      <c r="O45" s="5" t="inlineStr">
        <is>
          <t>2026-03-22</t>
        </is>
      </c>
    </row>
    <row r="46">
      <c r="A46" s="5" t="inlineStr">
        <is>
          <t>T-45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inlineStr"/>
    </row>
    <row r="47">
      <c r="A47" s="5" t="inlineStr">
        <is>
          <t>T-46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inlineStr"/>
    </row>
    <row r="48">
      <c r="A48" s="5" t="inlineStr">
        <is>
          <t>T-47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inlineStr"/>
    </row>
    <row r="49">
      <c r="A49" s="5" t="inlineStr">
        <is>
          <t>T-48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inlineStr"/>
    </row>
    <row r="50">
      <c r="A50" s="5" t="inlineStr">
        <is>
          <t>T-49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inlineStr"/>
    </row>
    <row r="51">
      <c r="A51" s="5" t="inlineStr">
        <is>
          <t>T-50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inlineStr"/>
    </row>
    <row r="52">
      <c r="A52" s="5" t="inlineStr">
        <is>
          <t>T-51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inlineStr"/>
    </row>
    <row r="53">
      <c r="A53" s="5" t="inlineStr">
        <is>
          <t>T-52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inlineStr"/>
    </row>
    <row r="54">
      <c r="A54" s="5" t="inlineStr">
        <is>
          <t>T-53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inlineStr"/>
    </row>
    <row r="55">
      <c r="A55" s="5" t="inlineStr">
        <is>
          <t>T-54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inlineStr"/>
    </row>
  </sheetData>
  <dataValidations count="2">
    <dataValidation sqref="K2:K60" showDropDown="0" showInputMessage="0" showErrorMessage="0" allowBlank="1" type="list">
      <formula1>"未着手,進行中,確認中,完了,保留"</formula1>
    </dataValidation>
    <dataValidation sqref="H2:H6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8E6C9"/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2" customWidth="1" min="4" max="4"/>
    <col width="10" customWidth="1" min="5" max="5"/>
    <col width="22" customWidth="1" min="6" max="6"/>
    <col width="10" customWidth="1" min="7" max="7"/>
    <col width="20" customWidth="1" min="8" max="8"/>
    <col width="12" customWidth="1" min="9" max="9"/>
    <col width="8" customWidth="1" min="10" max="10"/>
    <col width="8" customWidth="1" min="11" max="11"/>
    <col width="20" customWidth="1" min="12" max="12"/>
    <col width="18" customWidth="1" min="13" max="13"/>
    <col width="8" customWidth="1" min="14" max="14"/>
    <col width="6" customWidth="1" min="15" max="15"/>
    <col width="15" customWidth="1" min="16" max="16"/>
  </cols>
  <sheetData>
    <row r="1">
      <c r="A1" s="4" t="inlineStr">
        <is>
          <t>ID</t>
        </is>
      </c>
      <c r="B1" s="4" t="inlineStr">
        <is>
          <t>工務店名</t>
        </is>
      </c>
      <c r="C1" s="4" t="inlineStr">
        <is>
          <t>エリア</t>
        </is>
      </c>
      <c r="D1" s="4" t="inlineStr">
        <is>
          <t>規模(年間棟数)</t>
        </is>
      </c>
      <c r="E1" s="4" t="inlineStr">
        <is>
          <t>平屋実績</t>
        </is>
      </c>
      <c r="F1" s="4" t="inlineStr">
        <is>
          <t>メールアドレス</t>
        </is>
      </c>
      <c r="G1" s="4" t="inlineStr">
        <is>
          <t>送信日</t>
        </is>
      </c>
      <c r="H1" s="4" t="inlineStr">
        <is>
          <t>件名</t>
        </is>
      </c>
      <c r="I1" s="4" t="inlineStr">
        <is>
          <t>テンプレート</t>
        </is>
      </c>
      <c r="J1" s="4" t="inlineStr">
        <is>
          <t>開封確認</t>
        </is>
      </c>
      <c r="K1" s="4" t="inlineStr">
        <is>
          <t>返信有無</t>
        </is>
      </c>
      <c r="L1" s="4" t="inlineStr">
        <is>
          <t>返信内容</t>
        </is>
      </c>
      <c r="M1" s="4" t="inlineStr">
        <is>
          <t>次のアクション</t>
        </is>
      </c>
      <c r="N1" s="4" t="inlineStr">
        <is>
          <t>ステータス</t>
        </is>
      </c>
      <c r="O1" s="4" t="inlineStr">
        <is>
          <t>担当</t>
        </is>
      </c>
      <c r="P1" s="4" t="inlineStr">
        <is>
          <t>備考</t>
        </is>
      </c>
    </row>
    <row r="2">
      <c r="A2" s="5" t="inlineStr">
        <is>
          <t>M-01</t>
        </is>
      </c>
      <c r="B2" s="5" t="inlineStr">
        <is>
          <t>（候補A）</t>
        </is>
      </c>
      <c r="C2" s="5" t="inlineStr">
        <is>
          <t>鹿児島市</t>
        </is>
      </c>
      <c r="D2" s="5" t="inlineStr">
        <is>
          <t>50棟</t>
        </is>
      </c>
      <c r="E2" s="5" t="inlineStr">
        <is>
          <t>平屋比率高</t>
        </is>
      </c>
      <c r="F2" s="5" t="inlineStr"/>
      <c r="G2" s="5" t="inlineStr"/>
      <c r="H2" s="5" t="inlineStr">
        <is>
          <t>YouTubeコラボ提案</t>
        </is>
      </c>
      <c r="I2" s="5" t="inlineStr">
        <is>
          <t>A:初回提案</t>
        </is>
      </c>
      <c r="J2" s="5" t="inlineStr"/>
      <c r="K2" s="5" t="inlineStr"/>
      <c r="L2" s="5" t="inlineStr"/>
      <c r="M2" s="5" t="inlineStr"/>
      <c r="N2" s="5" t="inlineStr">
        <is>
          <t>未送信</t>
        </is>
      </c>
      <c r="O2" s="5" t="inlineStr">
        <is>
          <t>営業</t>
        </is>
      </c>
      <c r="P2" s="5" t="inlineStr">
        <is>
          <t>取材実績あり</t>
        </is>
      </c>
    </row>
    <row r="3">
      <c r="A3" s="5" t="inlineStr">
        <is>
          <t>M-02</t>
        </is>
      </c>
      <c r="B3" s="5" t="inlineStr">
        <is>
          <t>（候補B）</t>
        </is>
      </c>
      <c r="C3" s="5" t="inlineStr">
        <is>
          <t>鹿児島市</t>
        </is>
      </c>
      <c r="D3" s="5" t="inlineStr">
        <is>
          <t>80棟</t>
        </is>
      </c>
      <c r="E3" s="5" t="inlineStr">
        <is>
          <t>平屋あり</t>
        </is>
      </c>
      <c r="F3" s="5" t="inlineStr"/>
      <c r="G3" s="5" t="inlineStr"/>
      <c r="H3" s="5" t="inlineStr">
        <is>
          <t>掲載提案</t>
        </is>
      </c>
      <c r="I3" s="5" t="inlineStr">
        <is>
          <t>A:初回提案</t>
        </is>
      </c>
      <c r="J3" s="5" t="inlineStr"/>
      <c r="K3" s="5" t="inlineStr"/>
      <c r="L3" s="5" t="inlineStr"/>
      <c r="M3" s="5" t="inlineStr"/>
      <c r="N3" s="5" t="inlineStr">
        <is>
          <t>未送信</t>
        </is>
      </c>
      <c r="O3" s="5" t="inlineStr">
        <is>
          <t>営業</t>
        </is>
      </c>
      <c r="P3" s="5" t="inlineStr"/>
    </row>
    <row r="4">
      <c r="A4" s="5" t="inlineStr">
        <is>
          <t>M-03</t>
        </is>
      </c>
      <c r="B4" s="5" t="inlineStr">
        <is>
          <t>（候補C）</t>
        </is>
      </c>
      <c r="C4" s="5" t="inlineStr">
        <is>
          <t>福岡市</t>
        </is>
      </c>
      <c r="D4" s="5" t="inlineStr">
        <is>
          <t>60棟</t>
        </is>
      </c>
      <c r="E4" s="5" t="inlineStr">
        <is>
          <t>平屋あり</t>
        </is>
      </c>
      <c r="F4" s="5" t="inlineStr"/>
      <c r="G4" s="5" t="inlineStr"/>
      <c r="H4" s="5" t="inlineStr">
        <is>
          <t>掲載提案</t>
        </is>
      </c>
      <c r="I4" s="5" t="inlineStr">
        <is>
          <t>A:初回提案</t>
        </is>
      </c>
      <c r="J4" s="5" t="inlineStr"/>
      <c r="K4" s="5" t="inlineStr"/>
      <c r="L4" s="5" t="inlineStr"/>
      <c r="M4" s="5" t="inlineStr"/>
      <c r="N4" s="5" t="inlineStr">
        <is>
          <t>未送信</t>
        </is>
      </c>
      <c r="O4" s="5" t="inlineStr">
        <is>
          <t>営業</t>
        </is>
      </c>
      <c r="P4" s="5" t="inlineStr"/>
    </row>
    <row r="5">
      <c r="A5" s="21" t="inlineStr">
        <is>
          <t>M-04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s="21" t="inlineStr">
        <is>
          <t>M-05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s="21" t="inlineStr">
        <is>
          <t>M-06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s="21" t="inlineStr">
        <is>
          <t>M-07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s="21" t="inlineStr">
        <is>
          <t>M-08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s="21" t="inlineStr">
        <is>
          <t>M-09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s="21" t="inlineStr">
        <is>
          <t>M-10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>
      <c r="A12" s="21" t="inlineStr">
        <is>
          <t>M-11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>
      <c r="A13" s="21" t="inlineStr">
        <is>
          <t>M-12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>
      <c r="A14" s="21" t="inlineStr">
        <is>
          <t>M-13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</row>
    <row r="15">
      <c r="A15" s="21" t="inlineStr">
        <is>
          <t>M-14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</row>
    <row r="16">
      <c r="A16" s="21" t="inlineStr">
        <is>
          <t>M-15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</row>
    <row r="17">
      <c r="A17" s="21" t="inlineStr">
        <is>
          <t>M-16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s="21" t="inlineStr">
        <is>
          <t>M-17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s="21" t="inlineStr">
        <is>
          <t>M-18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s="21" t="inlineStr">
        <is>
          <t>M-19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s="21" t="inlineStr">
        <is>
          <t>M-20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s="21" t="inlineStr">
        <is>
          <t>M-21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s="21" t="inlineStr">
        <is>
          <t>M-22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>
      <c r="A24" s="21" t="inlineStr">
        <is>
          <t>M-23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</sheetData>
  <dataValidations count="1">
    <dataValidation sqref="N2:N30" showDropDown="0" showInputMessage="0" showErrorMessage="0" allowBlank="1" type="list">
      <formula1>"未送信,送信済,返信あり,商談中,契約済,不成立"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8E6C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80" customWidth="1" min="4" max="4"/>
    <col width="20" customWidth="1" min="5" max="5"/>
    <col width="25" customWidth="1" min="6" max="6"/>
  </cols>
  <sheetData>
    <row r="1">
      <c r="A1" s="4" t="inlineStr">
        <is>
          <t>テンプレートID</t>
        </is>
      </c>
      <c r="B1" s="4" t="inlineStr">
        <is>
          <t>用途</t>
        </is>
      </c>
      <c r="C1" s="4" t="inlineStr">
        <is>
          <t>件名</t>
        </is>
      </c>
      <c r="D1" s="4" t="inlineStr">
        <is>
          <t>本文（概要）</t>
        </is>
      </c>
      <c r="E1" s="4" t="inlineStr">
        <is>
          <t>送信タイミング</t>
        </is>
      </c>
      <c r="F1" s="4" t="inlineStr">
        <is>
          <t>備考</t>
        </is>
      </c>
    </row>
    <row r="2" ht="300" customHeight="1">
      <c r="A2" s="5" t="inlineStr">
        <is>
          <t>A:初回提案</t>
        </is>
      </c>
      <c r="B2" s="5" t="inlineStr">
        <is>
          <t>新規工務店への初回メールDM</t>
        </is>
      </c>
      <c r="C2" s="5" t="inlineStr">
        <is>
          <t>【ぺいほーむ】平屋専門メディアより掲載のご提案｜YouTube4.29万人</t>
        </is>
      </c>
      <c r="D2" s="5" t="inlineStr">
        <is>
          <t>○○工務店 ご担当者様
突然のご連絡失礼いたします。
鹿児島を拠点に、平屋専門の住宅メディア「ぺいほーむ」を運営しております、株式会社wazekaの村田と申します。
ぺいほーむは、YouTubeチャンネル登録者4.29万人、月間視聴回数19万回以上の平屋専門メディアです。
鹿児島・九州エリアで平屋をご検討中の方々に、ルームツアー動画や記事を通じて情報をお届けしております。
この度、貴社の平屋住宅の施工実績とこだわりに注目し、ぺいほーむへの掲載をご提案したくご連絡差し上げました。
■ ぺいほーむの特徴
・平屋ルームツアー動画257本公開（再生数最大99万回）
・視聴者の64%が45〜64歳（建て替え・セカンドライフ検討層）
・視聴者の54%が女性（住宅購入の意思決定に大きく関与）
・Webプラットフォームでの無料相談・資料請求・見学会予約の導線あり
■ ご提案内容
貴社の平屋住宅をぺいほーむで紹介させていただくパートナープランをご用意しております。
・ルームツアー動画の撮影・制作
・Webプラットフォームへの工務店情報掲載
・平屋検討者からの反響（問い合わせ）のお届け
・SNS運用代行
初回は無料でルームツアー動画を1本撮影させていただくことも可能です。
まずは15分ほどのオンラインミーティングで、貴社のお取り組みや課題をお聞かせいただければ幸いです。
ご興味がございましたら、本メールへのご返信、または下記よりお気軽にご連絡ください。
▼ ぺいほーむ Web
https://payhome-media.com/biz
▼ LINE公式
https://line.me/R/ti/p/@253gzmoh
何卒よろしくお願いいたします。
株式会社wazeka
ぺいほーむ パートナー担当
村田 峻之介
Email: info@payhome.jp
TEL: xxx-xxxx-xxxx</t>
        </is>
      </c>
      <c r="E2" s="5" t="inlineStr">
        <is>
          <t>リスト作成後、月5社ペース</t>
        </is>
      </c>
      <c r="F2" s="5" t="inlineStr">
        <is>
          <t>工務店名・特徴を調べてカスタマイズして送信。「貴社の○○に注目し」の部分を具体的に</t>
        </is>
      </c>
    </row>
    <row r="3" ht="300" customHeight="1">
      <c r="A3" s="5" t="inlineStr">
        <is>
          <t>B:フォローアップ</t>
        </is>
      </c>
      <c r="B3" s="5" t="inlineStr">
        <is>
          <t>初回送信後7日で未返信の場合</t>
        </is>
      </c>
      <c r="C3" s="5" t="inlineStr">
        <is>
          <t>【ぺいほーむ】先日のご提案について（リマインド）</t>
        </is>
      </c>
      <c r="D3" s="5" t="inlineStr">
        <is>
          <t>○○工務店 ご担当者様
先日、平屋専門メディア「ぺいほーむ」よりご提案のメールをお送りさせていただきました、株式会社wazekaの村田です。
お忙しい中大変恐縮ですが、ご確認いただけましたでしょうか。
実は先日、ぺいほーむで撮影した平屋のルームツアー動画が公開1週間で20万回再生を突破いたしました。
平屋への関心が非常に高まっていることを日々実感しております。
貴社の素敵な平屋住宅を、ぜひ多くの方にご紹介させていただきたいと考えております。
■ 最近の実績
・最新動画「おひとり様の理想を叶えた平家」: 公開8日で20万回視聴
・人気No.1動画「小さなかわいい平屋」: 99万回視聴
・月間チャンネル視聴回数: 19万回以上
まずは15分のオンラインミーティングからで結構です。
貴社のご都合のよい日時をお知らせいただければ幸いです。
何卒よろしくお願いいたします。
株式会社wazeka
村田 峻之介</t>
        </is>
      </c>
      <c r="E3" s="5" t="inlineStr">
        <is>
          <t>初回送信の7日後</t>
        </is>
      </c>
      <c r="F3" s="5" t="inlineStr">
        <is>
          <t>最新の動画実績を1つ追加して具体性を出す</t>
        </is>
      </c>
    </row>
    <row r="4" ht="300" customHeight="1">
      <c r="A4" s="5" t="inlineStr">
        <is>
          <t>C:取材提案</t>
        </is>
      </c>
      <c r="B4" s="5" t="inlineStr">
        <is>
          <t>取材実績のある工務店へのパートナー化提案</t>
        </is>
      </c>
      <c r="C4" s="5" t="inlineStr">
        <is>
          <t>【ぺいほーむ】取材ご協力のお礼と今後のパートナーシップのご相談</t>
        </is>
      </c>
      <c r="D4" s="5" t="inlineStr">
        <is>
          <t>○○工務店 ○○様
いつもお世話になっております。
ぺいほーむの村田です。
先日は貴社の素敵な平屋住宅の撮影にご協力いただき、誠にありがとうございました。
おかげさまで公開した動画は○万回再生を突破し、多くの視聴者から反響をいただいております。
■ 撮影動画の実績
・再生回数: ○万回
・高評価: ○件
・コメント: ○件（「この工務店に相談したい」等の声多数）
この実績を踏まえ、本日は貴社とのパートナーシップについてご相談させていただきたくご連絡いたしました。
ぺいほーむでは現在、パートナー工務店様向けに以下のサービスを提供しております。
■ パートナープランの内容
1. Webプラットフォームへの貴社専用ページ掲載
2. 平屋検討者からの問い合わせ（反響）を直接お届け
3. 定期的なルームツアー動画撮影（月1〜2本）
4. SNS運用代行（Instagram/YouTube）
5. 月次の反響レポート
月額30,000円〜のプランをご用意しておりますが、これまでの取材関係を踏まえ、特別な条件でのご提案も可能です。
一度お時間をいただき、詳しくご説明させていただけますでしょうか。
対面でもオンラインでも、貴社のご都合に合わせます。
引き続きよろしくお願いいたします。
株式会社wazeka
村田 峻之介</t>
        </is>
      </c>
      <c r="E4" s="5" t="inlineStr">
        <is>
          <t>取材動画公開後1-2週間</t>
        </is>
      </c>
      <c r="F4" s="5" t="inlineStr">
        <is>
          <t>動画の再生数・コメントの具体数値を入れる。特別条件を匂わせて興味を引く</t>
        </is>
      </c>
    </row>
    <row r="5" ht="300" customHeight="1">
      <c r="A5" s="5" t="inlineStr">
        <is>
          <t>D:事例共有</t>
        </is>
      </c>
      <c r="B5" s="5" t="inlineStr">
        <is>
          <t>興味を示した工務店への詳細資料送付</t>
        </is>
      </c>
      <c r="C5" s="5" t="inlineStr">
        <is>
          <t>【ぺいほーむ】パートナー事例と詳細資料をお送りします</t>
        </is>
      </c>
      <c r="D5" s="5" t="inlineStr">
        <is>
          <t>○○工務店 ○○様
先日はお忙しい中お時間をいただき、ありがとうございました。
ぺいほーむの村田です。
ご関心をいただいた件について、詳細資料をお送りいたします。
■ 添付資料
1. ぺいほーむ パートナープログラム提案書（PDF）
2. 料金プラン詳細
3. 導入事例
■ パートナー工務店の成果（一例）
・A工務店様: ルームツアー動画月1本制作→半年で問い合わせ月3件→15件に増加
・B工務店様: Web掲載+SNS運用→資料請求が2.8倍に
・反響単価: 業界平均8,000〜15,000円 → ぺいほーむ経由は5,000円以下
■ 次のステップ
ご検討いただいた上で、以下のいずれかで進めさせていただければ幸いです。
(1) 1ヶ月無料トライアルからスタート
(2) まずはルームツアー動画1本を無料で撮影
(3) オンラインで詳細のご説明（30分程度）
ご不明点がございましたら、お気軽にご連絡ください。
株式会社wazeka
村田 峻之介</t>
        </is>
      </c>
      <c r="E5" s="5" t="inlineStr">
        <is>
          <t>商談後・興味表明後</t>
        </is>
      </c>
      <c r="F5" s="5" t="inlineStr">
        <is>
          <t>提案書PDFを必ず添付。事例の数値は最新のものに更新</t>
        </is>
      </c>
    </row>
    <row r="6" ht="300" customHeight="1">
      <c r="A6" s="5" t="inlineStr">
        <is>
          <t>E:トライアル案内</t>
        </is>
      </c>
      <c r="B6" s="5" t="inlineStr">
        <is>
          <t>商談に進んだ工務店への無料トライアル詳細</t>
        </is>
      </c>
      <c r="C6" s="5" t="inlineStr">
        <is>
          <t>【ぺいほーむ】1ヶ月無料トライアルの詳細をお送りします</t>
        </is>
      </c>
      <c r="D6" s="5" t="inlineStr">
        <is>
          <t>○○工務店 ○○様
お世話になっております。
ぺいほーむの村田です。
先日のお打ち合わせにて、1ヶ月無料トライアルにご興味をいただきありがとうございます。
詳細をまとめましたのでお送りいたします。
■ 無料トライアルの内容（1ヶ月間）
・ぺいほーむWebプラットフォームへの貴社ページ掲載
・ルームツアー動画1本の撮影・制作・YouTube公開
・トライアル期間中の反響（問い合わせ）は全て無料でお届け
・期間終了後にレポートをお渡しし、継続をご判断いただきます
■ トライアル開始までの流れ
1. 本メールへのご返信で参加表明（本日〜）
2. 撮影日程の調整（1週間以内）
3. 掲載情報のヒアリング（オンライン30分）
4. 撮影実施
5. 動画公開＋Webページ掲載開始
6. 1ヶ月後にレポート共有＋継続のご相談
■ ご準備いただきたいもの
・撮影可能な完成物件または施工事例の写真5-10枚
・会社概要（設立年/施工実績/対応エリア/得意分野）
・掲載したい情報（価格帯/デザインテイスト/性能情報）
■ 費用について
トライアル期間中は完全無料です。
期間終了後、月額30,000円〜のプランをご提案しますが、継続の義務はございません。
ご参加いただける場合は、本メールに「参加希望」とご返信いただくだけで結構です。
折り返し撮影日程の調整をさせていただきます。
何卒よろしくお願いいたします。
株式会社wazeka
村田 峻之介</t>
        </is>
      </c>
      <c r="E6" s="5" t="inlineStr">
        <is>
          <t>商談実施後</t>
        </is>
      </c>
      <c r="F6" s="5" t="inlineStr">
        <is>
          <t>無料トライアルの具体的なステップを明示して行動のハードルを下げる</t>
        </is>
      </c>
    </row>
    <row r="7"/>
    <row r="8"/>
    <row r="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35" customWidth="1" min="4" max="4"/>
    <col width="20" customWidth="1" min="5" max="5"/>
    <col width="10" customWidth="1" min="6" max="6"/>
    <col width="10" customWidth="1" min="7" max="7"/>
    <col width="8" customWidth="1" min="8" max="8"/>
    <col width="18" customWidth="1" min="9" max="9"/>
  </cols>
  <sheetData>
    <row r="1">
      <c r="A1" s="4" t="inlineStr">
        <is>
          <t>ID</t>
        </is>
      </c>
      <c r="B1" s="4" t="inlineStr">
        <is>
          <t>ページ種別</t>
        </is>
      </c>
      <c r="C1" s="4" t="inlineStr">
        <is>
          <t>ページ名</t>
        </is>
      </c>
      <c r="D1" s="4" t="inlineStr">
        <is>
          <t>問題点</t>
        </is>
      </c>
      <c r="E1" s="4" t="inlineStr">
        <is>
          <t>不足情報</t>
        </is>
      </c>
      <c r="F1" s="4" t="inlineStr">
        <is>
          <t>修正優先度</t>
        </is>
      </c>
      <c r="G1" s="4" t="inlineStr">
        <is>
          <t>担当</t>
        </is>
      </c>
      <c r="H1" s="4" t="inlineStr">
        <is>
          <t>ステータス</t>
        </is>
      </c>
      <c r="I1" s="4" t="inlineStr">
        <is>
          <t>備考</t>
        </is>
      </c>
    </row>
    <row r="2">
      <c r="A2" s="5" t="inlineStr">
        <is>
          <t>A-01</t>
        </is>
      </c>
      <c r="B2" s="5" t="inlineStr">
        <is>
          <t>工務店一覧</t>
        </is>
      </c>
      <c r="C2" s="5" t="inlineStr">
        <is>
          <t>builders</t>
        </is>
      </c>
      <c r="D2" s="5" t="inlineStr">
        <is>
          <t>全12社サンプルデータ。実名でない</t>
        </is>
      </c>
      <c r="E2" s="5" t="inlineStr">
        <is>
          <t>電話/Web/説明/実績</t>
        </is>
      </c>
      <c r="F2" s="19" t="inlineStr">
        <is>
          <t>高</t>
        </is>
      </c>
      <c r="G2" s="5" t="inlineStr">
        <is>
          <t>営業</t>
        </is>
      </c>
      <c r="H2" s="5" t="inlineStr">
        <is>
          <t>未着手</t>
        </is>
      </c>
      <c r="I2" s="5" t="inlineStr">
        <is>
          <t>最優先</t>
        </is>
      </c>
    </row>
    <row r="3">
      <c r="A3" s="5" t="inlineStr">
        <is>
          <t>A-02</t>
        </is>
      </c>
      <c r="B3" s="5" t="inlineStr">
        <is>
          <t>物件詳細</t>
        </is>
      </c>
      <c r="C3" s="5" t="inlineStr">
        <is>
          <t>property/*</t>
        </is>
      </c>
      <c r="D3" s="5" t="inlineStr">
        <is>
          <t>写真がプレースホルダー</t>
        </is>
      </c>
      <c r="E3" s="5" t="inlineStr">
        <is>
          <t>実写真</t>
        </is>
      </c>
      <c r="F3" s="5" t="inlineStr">
        <is>
          <t>中</t>
        </is>
      </c>
      <c r="G3" s="5" t="inlineStr">
        <is>
          <t>コンテンツ</t>
        </is>
      </c>
      <c r="H3" s="5" t="inlineStr">
        <is>
          <t>未着手</t>
        </is>
      </c>
      <c r="I3" s="5" t="inlineStr">
        <is>
          <t>YouTube動画でカバー可</t>
        </is>
      </c>
    </row>
    <row r="4">
      <c r="A4" s="5" t="inlineStr">
        <is>
          <t>A-03</t>
        </is>
      </c>
      <c r="B4" s="5" t="inlineStr">
        <is>
          <t>取材記事</t>
        </is>
      </c>
      <c r="C4" s="5" t="inlineStr">
        <is>
          <t>interview/*</t>
        </is>
      </c>
      <c r="D4" s="5" t="inlineStr">
        <is>
          <t>社名が仮名(○○工務店)</t>
        </is>
      </c>
      <c r="E4" s="5" t="inlineStr">
        <is>
          <t>実名</t>
        </is>
      </c>
      <c r="F4" s="19" t="inlineStr">
        <is>
          <t>高</t>
        </is>
      </c>
      <c r="G4" s="5" t="inlineStr">
        <is>
          <t>営業</t>
        </is>
      </c>
      <c r="H4" s="5" t="inlineStr">
        <is>
          <t>未着手</t>
        </is>
      </c>
      <c r="I4" s="5" t="inlineStr">
        <is>
          <t>掲載許可交渉必要</t>
        </is>
      </c>
    </row>
    <row r="5">
      <c r="A5" s="5" t="inlineStr">
        <is>
          <t>A-04</t>
        </is>
      </c>
      <c r="B5" s="5" t="inlineStr">
        <is>
          <t>お客様の声</t>
        </is>
      </c>
      <c r="C5" s="5" t="inlineStr">
        <is>
          <t>voice/*</t>
        </is>
      </c>
      <c r="D5" s="5" t="inlineStr">
        <is>
          <t>匿名(A様等)。実在性未確認</t>
        </is>
      </c>
      <c r="E5" s="5" t="inlineStr">
        <is>
          <t>実在確認</t>
        </is>
      </c>
      <c r="F5" s="5" t="inlineStr">
        <is>
          <t>中</t>
        </is>
      </c>
      <c r="G5" s="5" t="inlineStr">
        <is>
          <t>コンテンツ</t>
        </is>
      </c>
      <c r="H5" s="5" t="inlineStr">
        <is>
          <t>未着手</t>
        </is>
      </c>
      <c r="I5" s="5" t="inlineStr"/>
    </row>
    <row r="6">
      <c r="A6" s="5" t="inlineStr">
        <is>
          <t>A-05</t>
        </is>
      </c>
      <c r="B6" s="5" t="inlineStr">
        <is>
          <t>記事(9本)</t>
        </is>
      </c>
      <c r="C6" s="5" t="inlineStr">
        <is>
          <t>articles/*</t>
        </is>
      </c>
      <c r="D6" s="5" t="inlineStr">
        <is>
          <t>SEOメタ未入力</t>
        </is>
      </c>
      <c r="E6" s="5" t="inlineStr">
        <is>
          <t>サムネ/メタ</t>
        </is>
      </c>
      <c r="F6" s="5" t="inlineStr">
        <is>
          <t>中</t>
        </is>
      </c>
      <c r="G6" s="5" t="inlineStr">
        <is>
          <t>コンテンツ</t>
        </is>
      </c>
      <c r="H6" s="5" t="inlineStr">
        <is>
          <t>未着手</t>
        </is>
      </c>
      <c r="I6" s="5" t="inlineStr">
        <is>
          <t>AI一括生成可</t>
        </is>
      </c>
    </row>
    <row r="7">
      <c r="A7" s="5" t="inlineStr">
        <is>
          <t>A-06</t>
        </is>
      </c>
      <c r="B7" s="5" t="inlineStr">
        <is>
          <t>ニュース(10本)</t>
        </is>
      </c>
      <c r="C7" s="5" t="inlineStr">
        <is>
          <t>news/*</t>
        </is>
      </c>
      <c r="D7" s="5" t="inlineStr">
        <is>
          <t>status未入力</t>
        </is>
      </c>
      <c r="E7" s="5" t="inlineStr">
        <is>
          <t>メタデータ</t>
        </is>
      </c>
      <c r="F7" s="5" t="inlineStr">
        <is>
          <t>低</t>
        </is>
      </c>
      <c r="G7" s="5" t="inlineStr">
        <is>
          <t>コンテンツ</t>
        </is>
      </c>
      <c r="H7" s="5" t="inlineStr">
        <is>
          <t>未着手</t>
        </is>
      </c>
      <c r="I7" s="5" t="inlineStr"/>
    </row>
    <row r="8">
      <c r="A8" s="5" t="inlineStr">
        <is>
          <t>A-07</t>
        </is>
      </c>
      <c r="B8" s="5" t="inlineStr">
        <is>
          <t>月刊誌(8号)</t>
        </is>
      </c>
      <c r="C8" s="5" t="inlineStr">
        <is>
          <t>magazine/*</t>
        </is>
      </c>
      <c r="D8" s="5" t="inlineStr">
        <is>
          <t>表紙画像全号欠如</t>
        </is>
      </c>
      <c r="E8" s="5" t="inlineStr">
        <is>
          <t>表紙画像8点</t>
        </is>
      </c>
      <c r="F8" s="5" t="inlineStr">
        <is>
          <t>中</t>
        </is>
      </c>
      <c r="G8" s="5" t="inlineStr">
        <is>
          <t>コンテンツ</t>
        </is>
      </c>
      <c r="H8" s="5" t="inlineStr">
        <is>
          <t>未着手</t>
        </is>
      </c>
      <c r="I8" s="5" t="inlineStr">
        <is>
          <t>デザイン制作必要</t>
        </is>
      </c>
    </row>
    <row r="9">
      <c r="A9" s="5" t="inlineStr">
        <is>
          <t>A-08</t>
        </is>
      </c>
      <c r="B9" s="5" t="inlineStr">
        <is>
          <t>相談ページ</t>
        </is>
      </c>
      <c r="C9" s="5" t="inlineStr">
        <is>
          <t>consultation</t>
        </is>
      </c>
      <c r="D9" s="5" t="inlineStr">
        <is>
          <t>コピー最終調整要</t>
        </is>
      </c>
      <c r="E9" s="5" t="inlineStr">
        <is>
          <t>なし</t>
        </is>
      </c>
      <c r="F9" s="5" t="inlineStr">
        <is>
          <t>中</t>
        </is>
      </c>
      <c r="G9" s="5" t="inlineStr">
        <is>
          <t>マーケ</t>
        </is>
      </c>
      <c r="H9" s="5" t="inlineStr">
        <is>
          <t>未着手</t>
        </is>
      </c>
      <c r="I9" s="5" t="inlineStr">
        <is>
          <t>CV率に直結</t>
        </is>
      </c>
    </row>
    <row r="10">
      <c r="A10" s="5" t="inlineStr">
        <is>
          <t>A-09</t>
        </is>
      </c>
      <c r="B10" s="5" t="inlineStr">
        <is>
          <t>トップページ</t>
        </is>
      </c>
      <c r="C10" s="5" t="inlineStr">
        <is>
          <t>home</t>
        </is>
      </c>
      <c r="D10" s="5" t="inlineStr">
        <is>
          <t>キャッチコピー調整要</t>
        </is>
      </c>
      <c r="E10" s="5" t="inlineStr">
        <is>
          <t>なし</t>
        </is>
      </c>
      <c r="F10" s="5" t="inlineStr">
        <is>
          <t>中</t>
        </is>
      </c>
      <c r="G10" s="5" t="inlineStr">
        <is>
          <t>マーケ</t>
        </is>
      </c>
      <c r="H10" s="5" t="inlineStr">
        <is>
          <t>未着手</t>
        </is>
      </c>
      <c r="I10" s="5" t="inlineStr">
        <is>
          <t>第一印象</t>
        </is>
      </c>
    </row>
    <row r="11">
      <c r="A11" s="5" t="inlineStr">
        <is>
          <t>A-10</t>
        </is>
      </c>
      <c r="B11" s="5" t="inlineStr">
        <is>
          <t>Bizトップ</t>
        </is>
      </c>
      <c r="C11" s="5" t="inlineStr">
        <is>
          <t>biz</t>
        </is>
      </c>
      <c r="D11" s="5" t="inlineStr">
        <is>
          <t>事例が仮データ可能性</t>
        </is>
      </c>
      <c r="E11" s="5" t="inlineStr">
        <is>
          <t>実事例</t>
        </is>
      </c>
      <c r="F11" s="5" t="inlineStr">
        <is>
          <t>中</t>
        </is>
      </c>
      <c r="G11" s="5" t="inlineStr">
        <is>
          <t>営業</t>
        </is>
      </c>
      <c r="H11" s="5" t="inlineStr">
        <is>
          <t>未着手</t>
        </is>
      </c>
      <c r="I11" s="5" t="inlineStr">
        <is>
          <t>B2B入口</t>
        </is>
      </c>
    </row>
  </sheetData>
  <dataValidations count="1">
    <dataValidation sqref="H2:H3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600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18" customWidth="1" min="4" max="4"/>
    <col width="14" customWidth="1" min="5" max="5"/>
    <col width="14" customWidth="1" min="6" max="6"/>
    <col width="8" customWidth="1" min="7" max="7"/>
    <col width="8" customWidth="1" min="8" max="8"/>
    <col width="8" customWidth="1" min="9" max="9"/>
    <col width="18" customWidth="1" min="10" max="10"/>
  </cols>
  <sheetData>
    <row r="1">
      <c r="A1" s="4" t="inlineStr">
        <is>
          <t>ID</t>
        </is>
      </c>
      <c r="B1" s="4" t="inlineStr">
        <is>
          <t>工務店名</t>
        </is>
      </c>
      <c r="C1" s="4" t="inlineStr">
        <is>
          <t>確認項目</t>
        </is>
      </c>
      <c r="D1" s="4" t="inlineStr">
        <is>
          <t>目的</t>
        </is>
      </c>
      <c r="E1" s="4" t="inlineStr">
        <is>
          <t>不足情報</t>
        </is>
      </c>
      <c r="F1" s="4" t="inlineStr">
        <is>
          <t>方法</t>
        </is>
      </c>
      <c r="G1" s="4" t="inlineStr">
        <is>
          <t>担当</t>
        </is>
      </c>
      <c r="H1" s="4" t="inlineStr">
        <is>
          <t>期限</t>
        </is>
      </c>
      <c r="I1" s="4" t="inlineStr">
        <is>
          <t>状況</t>
        </is>
      </c>
      <c r="J1" s="4" t="inlineStr">
        <is>
          <t>備考</t>
        </is>
      </c>
    </row>
    <row r="2">
      <c r="A2" s="5" t="inlineStr">
        <is>
          <t>H-01</t>
        </is>
      </c>
      <c r="B2" s="5" t="inlineStr">
        <is>
          <t>（候補A）</t>
        </is>
      </c>
      <c r="C2" s="5" t="inlineStr">
        <is>
          <t>会社概要/設立年/代表者</t>
        </is>
      </c>
      <c r="D2" s="5" t="inlineStr">
        <is>
          <t>掲載基本情報</t>
        </is>
      </c>
      <c r="E2" s="5" t="inlineStr">
        <is>
          <t>全項目未取得</t>
        </is>
      </c>
      <c r="F2" s="5" t="inlineStr">
        <is>
          <t>訪問/オンライン</t>
        </is>
      </c>
      <c r="G2" s="5" t="inlineStr">
        <is>
          <t>営業</t>
        </is>
      </c>
      <c r="H2" s="5" t="inlineStr"/>
      <c r="I2" s="5" t="inlineStr">
        <is>
          <t>未着手</t>
        </is>
      </c>
      <c r="J2" s="5" t="inlineStr"/>
    </row>
    <row r="3">
      <c r="A3" s="5" t="inlineStr">
        <is>
          <t>H-02</t>
        </is>
      </c>
      <c r="B3" s="5" t="inlineStr">
        <is>
          <t>（候補A）</t>
        </is>
      </c>
      <c r="C3" s="5" t="inlineStr">
        <is>
          <t>平屋 年間施工数/比率</t>
        </is>
      </c>
      <c r="D3" s="5" t="inlineStr">
        <is>
          <t>平屋特化の根拠</t>
        </is>
      </c>
      <c r="E3" s="5" t="inlineStr">
        <is>
          <t>未取得</t>
        </is>
      </c>
      <c r="F3" s="5" t="inlineStr">
        <is>
          <t>訪問/オンライン</t>
        </is>
      </c>
      <c r="G3" s="5" t="inlineStr">
        <is>
          <t>営業</t>
        </is>
      </c>
      <c r="H3" s="5" t="inlineStr"/>
      <c r="I3" s="5" t="inlineStr">
        <is>
          <t>未着手</t>
        </is>
      </c>
      <c r="J3" s="5" t="inlineStr"/>
    </row>
    <row r="4">
      <c r="A4" s="5" t="inlineStr">
        <is>
          <t>H-03</t>
        </is>
      </c>
      <c r="B4" s="5" t="inlineStr">
        <is>
          <t>（候補A）</t>
        </is>
      </c>
      <c r="C4" s="5" t="inlineStr">
        <is>
          <t>価格帯(坪単価/総額)</t>
        </is>
      </c>
      <c r="D4" s="5" t="inlineStr">
        <is>
          <t>予算マッチング</t>
        </is>
      </c>
      <c r="E4" s="5" t="inlineStr">
        <is>
          <t>未取得</t>
        </is>
      </c>
      <c r="F4" s="5" t="inlineStr">
        <is>
          <t>訪問/オンライン</t>
        </is>
      </c>
      <c r="G4" s="5" t="inlineStr">
        <is>
          <t>営業</t>
        </is>
      </c>
      <c r="H4" s="5" t="inlineStr"/>
      <c r="I4" s="5" t="inlineStr">
        <is>
          <t>未着手</t>
        </is>
      </c>
      <c r="J4" s="5" t="inlineStr"/>
    </row>
    <row r="5">
      <c r="A5" s="5" t="inlineStr">
        <is>
          <t>H-04</t>
        </is>
      </c>
      <c r="B5" s="5" t="inlineStr">
        <is>
          <t>（候補A）</t>
        </is>
      </c>
      <c r="C5" s="5" t="inlineStr">
        <is>
          <t>デザインテイスト</t>
        </is>
      </c>
      <c r="D5" s="5" t="inlineStr">
        <is>
          <t>AI推薦用</t>
        </is>
      </c>
      <c r="E5" s="5" t="inlineStr">
        <is>
          <t>未取得</t>
        </is>
      </c>
      <c r="F5" s="5" t="inlineStr">
        <is>
          <t>訪問/オンライン</t>
        </is>
      </c>
      <c r="G5" s="5" t="inlineStr">
        <is>
          <t>営業</t>
        </is>
      </c>
      <c r="H5" s="5" t="inlineStr"/>
      <c r="I5" s="5" t="inlineStr">
        <is>
          <t>未着手</t>
        </is>
      </c>
      <c r="J5" s="5" t="inlineStr"/>
    </row>
    <row r="6">
      <c r="A6" s="5" t="inlineStr">
        <is>
          <t>H-05</t>
        </is>
      </c>
      <c r="B6" s="5" t="inlineStr">
        <is>
          <t>（候補A）</t>
        </is>
      </c>
      <c r="C6" s="5" t="inlineStr">
        <is>
          <t>性能仕様(断熱/耐震)</t>
        </is>
      </c>
      <c r="D6" s="5" t="inlineStr">
        <is>
          <t>性能比較</t>
        </is>
      </c>
      <c r="E6" s="5" t="inlineStr">
        <is>
          <t>未取得</t>
        </is>
      </c>
      <c r="F6" s="5" t="inlineStr">
        <is>
          <t>訪問/オンライン</t>
        </is>
      </c>
      <c r="G6" s="5" t="inlineStr">
        <is>
          <t>営業</t>
        </is>
      </c>
      <c r="H6" s="5" t="inlineStr"/>
      <c r="I6" s="5" t="inlineStr">
        <is>
          <t>未着手</t>
        </is>
      </c>
      <c r="J6" s="5" t="inlineStr"/>
    </row>
    <row r="7">
      <c r="A7" s="5" t="inlineStr">
        <is>
          <t>H-06</t>
        </is>
      </c>
      <c r="B7" s="5" t="inlineStr">
        <is>
          <t>（候補A）</t>
        </is>
      </c>
      <c r="C7" s="5" t="inlineStr">
        <is>
          <t>得意な間取り/特徴</t>
        </is>
      </c>
      <c r="D7" s="5" t="inlineStr">
        <is>
          <t>コンテンツ素材</t>
        </is>
      </c>
      <c r="E7" s="5" t="inlineStr">
        <is>
          <t>未取得</t>
        </is>
      </c>
      <c r="F7" s="5" t="inlineStr">
        <is>
          <t>訪問/オンライン</t>
        </is>
      </c>
      <c r="G7" s="5" t="inlineStr">
        <is>
          <t>営業</t>
        </is>
      </c>
      <c r="H7" s="5" t="inlineStr"/>
      <c r="I7" s="5" t="inlineStr">
        <is>
          <t>未着手</t>
        </is>
      </c>
      <c r="J7" s="5" t="inlineStr"/>
    </row>
    <row r="8">
      <c r="A8" s="5" t="inlineStr">
        <is>
          <t>H-07</t>
        </is>
      </c>
      <c r="B8" s="5" t="inlineStr">
        <is>
          <t>（候補A）</t>
        </is>
      </c>
      <c r="C8" s="5" t="inlineStr">
        <is>
          <t>対応エリア</t>
        </is>
      </c>
      <c r="D8" s="5" t="inlineStr">
        <is>
          <t>マッチング</t>
        </is>
      </c>
      <c r="E8" s="5" t="inlineStr">
        <is>
          <t>未取得</t>
        </is>
      </c>
      <c r="F8" s="5" t="inlineStr">
        <is>
          <t>訪問/オンライン</t>
        </is>
      </c>
      <c r="G8" s="5" t="inlineStr">
        <is>
          <t>営業</t>
        </is>
      </c>
      <c r="H8" s="5" t="inlineStr"/>
      <c r="I8" s="5" t="inlineStr">
        <is>
          <t>未着手</t>
        </is>
      </c>
      <c r="J8" s="5" t="inlineStr"/>
    </row>
    <row r="9">
      <c r="A9" s="5" t="inlineStr">
        <is>
          <t>H-08</t>
        </is>
      </c>
      <c r="B9" s="5" t="inlineStr">
        <is>
          <t>（候補A）</t>
        </is>
      </c>
      <c r="C9" s="5" t="inlineStr">
        <is>
          <t>向いている顧客像</t>
        </is>
      </c>
      <c r="D9" s="5" t="inlineStr">
        <is>
          <t>AI推薦</t>
        </is>
      </c>
      <c r="E9" s="5" t="inlineStr">
        <is>
          <t>未取得</t>
        </is>
      </c>
      <c r="F9" s="5" t="inlineStr">
        <is>
          <t>訪問/オンライン</t>
        </is>
      </c>
      <c r="G9" s="5" t="inlineStr">
        <is>
          <t>営業</t>
        </is>
      </c>
      <c r="H9" s="5" t="inlineStr"/>
      <c r="I9" s="5" t="inlineStr">
        <is>
          <t>未着手</t>
        </is>
      </c>
      <c r="J9" s="5" t="inlineStr"/>
    </row>
    <row r="10">
      <c r="A10" s="5" t="inlineStr">
        <is>
          <t>H-09</t>
        </is>
      </c>
      <c r="B10" s="5" t="inlineStr">
        <is>
          <t>（候補A）</t>
        </is>
      </c>
      <c r="C10" s="5" t="inlineStr">
        <is>
          <t>写真素材(3-5枚)</t>
        </is>
      </c>
      <c r="D10" s="5" t="inlineStr">
        <is>
          <t>ビジュアル</t>
        </is>
      </c>
      <c r="E10" s="5" t="inlineStr">
        <is>
          <t>未取得</t>
        </is>
      </c>
      <c r="F10" s="5" t="inlineStr">
        <is>
          <t>データ提供</t>
        </is>
      </c>
      <c r="G10" s="5" t="inlineStr">
        <is>
          <t>営業</t>
        </is>
      </c>
      <c r="H10" s="5" t="inlineStr"/>
      <c r="I10" s="5" t="inlineStr">
        <is>
          <t>未着手</t>
        </is>
      </c>
      <c r="J10" s="5" t="inlineStr"/>
    </row>
    <row r="11">
      <c r="A11" s="5" t="inlineStr">
        <is>
          <t>H-10</t>
        </is>
      </c>
      <c r="B11" s="5" t="inlineStr">
        <is>
          <t>（候補A）</t>
        </is>
      </c>
      <c r="C11" s="5" t="inlineStr">
        <is>
          <t>掲載文の確認</t>
        </is>
      </c>
      <c r="D11" s="5" t="inlineStr">
        <is>
          <t>正確性</t>
        </is>
      </c>
      <c r="E11" s="5" t="inlineStr">
        <is>
          <t>掲載文未作成</t>
        </is>
      </c>
      <c r="F11" s="5" t="inlineStr">
        <is>
          <t>メール</t>
        </is>
      </c>
      <c r="G11" s="5" t="inlineStr">
        <is>
          <t>コンテンツ</t>
        </is>
      </c>
      <c r="H11" s="5" t="inlineStr"/>
      <c r="I11" s="5" t="inlineStr">
        <is>
          <t>未着手</t>
        </is>
      </c>
      <c r="J11" s="5" t="inlineStr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</row>
  </sheetData>
  <dataValidations count="1">
    <dataValidation sqref="I2:I3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BDEFB"/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5" customWidth="1" min="4" max="4"/>
    <col width="35" customWidth="1" min="5" max="5"/>
    <col width="10" customWidth="1" min="6" max="6"/>
    <col width="10" customWidth="1" min="7" max="7"/>
    <col width="10" customWidth="1" min="8" max="8"/>
    <col width="8" customWidth="1" min="9" max="9"/>
    <col width="12" customWidth="1" min="10" max="10"/>
    <col width="20" customWidth="1" min="11" max="11"/>
  </cols>
  <sheetData>
    <row r="1">
      <c r="A1" s="4" t="inlineStr">
        <is>
          <t>追加日</t>
        </is>
      </c>
      <c r="B1" s="4" t="inlineStr">
        <is>
          <t>起票者</t>
        </is>
      </c>
      <c r="C1" s="4" t="inlineStr">
        <is>
          <t>カテゴリ</t>
        </is>
      </c>
      <c r="D1" s="4" t="inlineStr">
        <is>
          <t>タスク名</t>
        </is>
      </c>
      <c r="E1" s="4" t="inlineStr">
        <is>
          <t>背景/目的</t>
        </is>
      </c>
      <c r="F1" s="4" t="inlineStr">
        <is>
          <t>優先度(仮)</t>
        </is>
      </c>
      <c r="G1" s="4" t="inlineStr">
        <is>
          <t>希望期限</t>
        </is>
      </c>
      <c r="H1" s="4" t="inlineStr">
        <is>
          <t>担当(案)</t>
        </is>
      </c>
      <c r="I1" s="4" t="inlineStr">
        <is>
          <t>承認</t>
        </is>
      </c>
      <c r="J1" s="4" t="inlineStr">
        <is>
          <t>Todo一覧に反映</t>
        </is>
      </c>
      <c r="K1" s="4" t="inlineStr">
        <is>
          <t>備考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</row>
    <row r="5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8740C"/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2" t="inlineStr">
        <is>
          <t>このスプレッドシートの使い方</t>
        </is>
      </c>
      <c r="B1" s="23" t="inlineStr"/>
    </row>
    <row r="2">
      <c r="A2" s="23" t="inlineStr"/>
      <c r="B2" s="23" t="inlineStr"/>
    </row>
    <row r="3">
      <c r="A3" s="24" t="inlineStr">
        <is>
          <t>シート名</t>
        </is>
      </c>
      <c r="B3" s="23" t="inlineStr">
        <is>
          <t>用途・使い方</t>
        </is>
      </c>
    </row>
    <row r="4">
      <c r="A4" s="23" t="inlineStr">
        <is>
          <t>ダッシュボード</t>
        </is>
      </c>
      <c r="B4" s="23" t="inlineStr">
        <is>
          <t>全体の進捗を俯瞰するシート。毎週月曜のKPIミーティングで確認。完了率は自動計算。</t>
        </is>
      </c>
    </row>
    <row r="5">
      <c r="A5" s="23" t="inlineStr">
        <is>
          <t>ガントチャート</t>
        </is>
      </c>
      <c r="B5" s="23" t="inlineStr">
        <is>
          <t>12週間のタスクスケジュール。オレンジのバーが稼働週。ステータスと進捗%を毎週更新する。</t>
        </is>
      </c>
    </row>
    <row r="6">
      <c r="A6" s="23" t="inlineStr">
        <is>
          <t>担当別Todo</t>
        </is>
      </c>
      <c r="B6" s="23" t="inlineStr">
        <is>
          <t>担当者ごとにタスクを確認するシート。各メンバーが自分の担当分を見る。「次のアクション」列が最も重要。</t>
        </is>
      </c>
    </row>
    <row r="7">
      <c r="A7" s="23" t="inlineStr">
        <is>
          <t>Todo詳細</t>
        </is>
      </c>
      <c r="B7" s="23" t="inlineStr">
        <is>
          <t>全44タスクの詳細一覧。追加Todoは下部の空行に追記可能（T-45以降）。</t>
        </is>
      </c>
    </row>
    <row r="8">
      <c r="A8" s="23" t="inlineStr">
        <is>
          <t>メール営業管理</t>
        </is>
      </c>
      <c r="B8" s="23" t="inlineStr">
        <is>
          <t>工務店へのメールDM営業を管理。送信日・開封・返信・次アクションを追跡する。</t>
        </is>
      </c>
    </row>
    <row r="9">
      <c r="A9" s="23" t="inlineStr">
        <is>
          <t>メールテンプレート</t>
        </is>
      </c>
      <c r="B9" s="23" t="inlineStr">
        <is>
          <t>メール営業で使うテンプレート5パターン。Claudeで工務店ごとにカスタマイズして使用。</t>
        </is>
      </c>
    </row>
    <row r="10">
      <c r="A10" s="23" t="inlineStr">
        <is>
          <t>掲載内容監査</t>
        </is>
      </c>
      <c r="B10" s="23" t="inlineStr">
        <is>
          <t>プラットフォーム全ページの品質監査結果。優先度「高」から順に修正する。</t>
        </is>
      </c>
    </row>
    <row r="11">
      <c r="A11" s="23" t="inlineStr">
        <is>
          <t>工務店ヒアリング管理</t>
        </is>
      </c>
      <c r="B11" s="23" t="inlineStr">
        <is>
          <t>パートナー候補工務店への確認項目を管理。1社につき10項目のテンプレート。</t>
        </is>
      </c>
    </row>
    <row r="12">
      <c r="A12" s="23" t="inlineStr">
        <is>
          <t>追加Todo受付</t>
        </is>
      </c>
      <c r="B12" s="23" t="inlineStr">
        <is>
          <t>新しいTodoが発生したらここに起票。承認後にTodo詳細に転記する。</t>
        </is>
      </c>
    </row>
    <row r="13">
      <c r="A13" s="23" t="inlineStr"/>
      <c r="B13" s="23" t="inlineStr"/>
    </row>
    <row r="14">
      <c r="A14" s="24" t="inlineStr">
        <is>
          <t>運用ルール</t>
        </is>
      </c>
      <c r="B14" s="23" t="inlineStr"/>
    </row>
    <row r="15">
      <c r="A15" s="23" t="inlineStr">
        <is>
          <t>1</t>
        </is>
      </c>
      <c r="B15" s="23" t="inlineStr">
        <is>
          <t>毎週月曜にダッシュボード+ガントチャートを確認（15分）</t>
        </is>
      </c>
    </row>
    <row r="16">
      <c r="A16" s="23" t="inlineStr">
        <is>
          <t>2</t>
        </is>
      </c>
      <c r="B16" s="23" t="inlineStr">
        <is>
          <t>各担当は週頭に「担当別Todo」で自分のタスクを確認し、ステータスを更新</t>
        </is>
      </c>
    </row>
    <row r="17">
      <c r="A17" s="23" t="inlineStr">
        <is>
          <t>3</t>
        </is>
      </c>
      <c r="B17" s="23" t="inlineStr">
        <is>
          <t>メール営業は「メール営業管理」シートで月5社ペースで管理</t>
        </is>
      </c>
    </row>
    <row r="18">
      <c r="A18" s="23" t="inlineStr">
        <is>
          <t>4</t>
        </is>
      </c>
      <c r="B18" s="23" t="inlineStr">
        <is>
          <t>新しいTodoは「追加Todo受付」に起票→経営承認→Todo詳細に転記</t>
        </is>
      </c>
    </row>
    <row r="19">
      <c r="A19" s="23" t="inlineStr">
        <is>
          <t>5</t>
        </is>
      </c>
      <c r="B19" s="23" t="inlineStr">
        <is>
          <t>毎月末に「ダッシュボード」の進捗サマリーを更新し、月次レビュー会議で使用</t>
        </is>
      </c>
    </row>
    <row r="20">
      <c r="A20" s="23" t="inlineStr"/>
      <c r="B20" s="23" t="inlineStr"/>
    </row>
    <row r="21">
      <c r="A21" s="24" t="inlineStr">
        <is>
          <t>ステータスの定義</t>
        </is>
      </c>
      <c r="B21" s="23" t="inlineStr"/>
    </row>
    <row r="22">
      <c r="A22" s="23" t="inlineStr">
        <is>
          <t>未着手</t>
        </is>
      </c>
      <c r="B22" s="23" t="inlineStr">
        <is>
          <t>まだ着手していない</t>
        </is>
      </c>
    </row>
    <row r="23">
      <c r="A23" s="23" t="inlineStr">
        <is>
          <t>進行中</t>
        </is>
      </c>
      <c r="B23" s="23" t="inlineStr">
        <is>
          <t>作業中</t>
        </is>
      </c>
    </row>
    <row r="24">
      <c r="A24" s="23" t="inlineStr">
        <is>
          <t>確認中</t>
        </is>
      </c>
      <c r="B24" s="23" t="inlineStr">
        <is>
          <t>成果物のレビュー・確認待ち</t>
        </is>
      </c>
    </row>
    <row r="25">
      <c r="A25" s="23" t="inlineStr">
        <is>
          <t>完了</t>
        </is>
      </c>
      <c r="B25" s="23" t="inlineStr">
        <is>
          <t>完了</t>
        </is>
      </c>
    </row>
    <row r="26">
      <c r="A26" s="23" t="inlineStr">
        <is>
          <t>保留</t>
        </is>
      </c>
      <c r="B26" s="23" t="inlineStr">
        <is>
          <t>一時停止（理由をメモに記載）</t>
        </is>
      </c>
    </row>
    <row r="27">
      <c r="A27" s="23" t="inlineStr"/>
      <c r="B27" s="23" t="inlineStr"/>
    </row>
    <row r="28">
      <c r="A28" s="24" t="inlineStr">
        <is>
          <t>自動化判定の定義</t>
        </is>
      </c>
      <c r="B28" s="23" t="inlineStr"/>
    </row>
    <row r="29">
      <c r="A29" s="23" t="inlineStr">
        <is>
          <t>A</t>
        </is>
      </c>
      <c r="B29" s="23" t="inlineStr">
        <is>
          <t>Claude/AIでほぼ自動化可能（草案生成・一括処理）</t>
        </is>
      </c>
    </row>
    <row r="30">
      <c r="A30" s="23" t="inlineStr">
        <is>
          <t>B</t>
        </is>
      </c>
      <c r="B30" s="23" t="inlineStr">
        <is>
          <t>AIで叩き台作成可能、人間レビュー必須</t>
        </is>
      </c>
    </row>
    <row r="31">
      <c r="A31" s="23" t="inlineStr">
        <is>
          <t>C</t>
        </is>
      </c>
      <c r="B31" s="23" t="inlineStr">
        <is>
          <t>AI補助は可能だが、人間主導で進めるべき</t>
        </is>
      </c>
    </row>
    <row r="32">
      <c r="A32" s="23" t="inlineStr">
        <is>
          <t>D</t>
        </is>
      </c>
      <c r="B32" s="23" t="inlineStr">
        <is>
          <t>人間が実行すべき（交渉・意思決定・現場作業）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0000"/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30" customWidth="1" min="4" max="4"/>
    <col width="28" customWidth="1" min="5" max="5"/>
    <col width="14" customWidth="1" min="6" max="6"/>
    <col width="40" customWidth="1" min="7" max="7"/>
    <col width="16" customWidth="1" min="8" max="8"/>
  </cols>
  <sheetData>
    <row r="1">
      <c r="A1" s="1" t="inlineStr">
        <is>
          <t>ぺいほーむ YouTube戦略分析</t>
        </is>
      </c>
    </row>
    <row r="3">
      <c r="A3" s="9" t="inlineStr">
        <is>
          <t>現在のチャンネルパフォーマンス</t>
        </is>
      </c>
    </row>
    <row r="4">
      <c r="A4" s="4" t="inlineStr">
        <is>
          <t>指標</t>
        </is>
      </c>
      <c r="B4" s="4" t="inlineStr">
        <is>
          <t>数値</t>
        </is>
      </c>
      <c r="C4" s="4" t="inlineStr">
        <is>
          <t>備考</t>
        </is>
      </c>
    </row>
    <row r="5">
      <c r="A5" s="5" t="inlineStr">
        <is>
          <t>チャンネル登録者</t>
        </is>
      </c>
      <c r="B5" s="5" t="inlineStr">
        <is>
          <t>42,841人</t>
        </is>
      </c>
      <c r="C5" s="5" t="inlineStr"/>
    </row>
    <row r="6">
      <c r="A6" s="5" t="inlineStr">
        <is>
          <t>公開動画数</t>
        </is>
      </c>
      <c r="B6" s="5" t="inlineStr">
        <is>
          <t>257本</t>
        </is>
      </c>
      <c r="C6" s="5" t="inlineStr">
        <is>
          <t>全て平屋ルームツアー</t>
        </is>
      </c>
    </row>
    <row r="7">
      <c r="A7" s="5" t="inlineStr">
        <is>
          <t>月間視聴回数</t>
        </is>
      </c>
      <c r="B7" s="5" t="inlineStr">
        <is>
          <t>152,228回</t>
        </is>
      </c>
      <c r="C7" s="5" t="inlineStr">
        <is>
          <t>過去28日間</t>
        </is>
      </c>
    </row>
    <row r="8">
      <c r="A8" s="5" t="inlineStr">
        <is>
          <t>月間再生時間</t>
        </is>
      </c>
      <c r="B8" s="5" t="inlineStr">
        <is>
          <t>7,722.7時間</t>
        </is>
      </c>
      <c r="C8" s="5" t="inlineStr"/>
    </row>
    <row r="9">
      <c r="A9" s="5" t="inlineStr">
        <is>
          <t>平均視聴時間</t>
        </is>
      </c>
      <c r="B9" s="5" t="inlineStr">
        <is>
          <t>3分03秒</t>
        </is>
      </c>
      <c r="C9" s="5" t="inlineStr"/>
    </row>
    <row r="10">
      <c r="A10" s="5" t="inlineStr">
        <is>
          <t>新規視聴者比率</t>
        </is>
      </c>
      <c r="B10" s="5" t="inlineStr">
        <is>
          <t>84.8%</t>
        </is>
      </c>
      <c r="C10" s="5" t="inlineStr">
        <is>
          <t>未登録者92.3%→登録促進の余地大</t>
        </is>
      </c>
    </row>
    <row r="11">
      <c r="A11" s="5" t="inlineStr">
        <is>
          <t>モバイル比率</t>
        </is>
      </c>
      <c r="B11" s="5" t="inlineStr">
        <is>
          <t>49.4%</t>
        </is>
      </c>
      <c r="C11" s="5" t="inlineStr">
        <is>
          <t>サムネ・テロップはスマホ最適化必須</t>
        </is>
      </c>
    </row>
    <row r="12">
      <c r="A12" s="5" t="inlineStr">
        <is>
          <t>女性比率</t>
        </is>
      </c>
      <c r="B12" s="5" t="inlineStr">
        <is>
          <t>54%</t>
        </is>
      </c>
      <c r="C12" s="5" t="inlineStr">
        <is>
          <t>女性目線のコンテンツが響く</t>
        </is>
      </c>
    </row>
    <row r="13">
      <c r="A13" s="5" t="inlineStr">
        <is>
          <t>最多年齢層</t>
        </is>
      </c>
      <c r="B13" s="5" t="inlineStr">
        <is>
          <t>55-64歳 (35.3%)</t>
        </is>
      </c>
      <c r="C13" s="5" t="inlineStr">
        <is>
          <t>セカンドライフ・老後の平屋需要</t>
        </is>
      </c>
    </row>
    <row r="14">
      <c r="A14" s="5" t="inlineStr">
        <is>
          <t>2番目年齢層</t>
        </is>
      </c>
      <c r="B14" s="5" t="inlineStr">
        <is>
          <t>45-54歳 (29.1%)</t>
        </is>
      </c>
      <c r="C14" s="5" t="inlineStr">
        <is>
          <t>子育て後の建て替え需要</t>
        </is>
      </c>
    </row>
    <row r="16">
      <c r="A16" s="9" t="inlineStr">
        <is>
          <t>動画別 再生数分析 — 伸びる家の選定基準</t>
        </is>
      </c>
    </row>
    <row r="17">
      <c r="A17" s="4" t="inlineStr">
        <is>
          <t>順位</t>
        </is>
      </c>
      <c r="B17" s="4" t="inlineStr">
        <is>
          <t>タイトル</t>
        </is>
      </c>
      <c r="C17" s="4" t="inlineStr">
        <is>
          <t>再生数</t>
        </is>
      </c>
      <c r="D17" s="4" t="inlineStr">
        <is>
          <t>間取り</t>
        </is>
      </c>
      <c r="E17" s="4" t="inlineStr">
        <is>
          <t>価格</t>
        </is>
      </c>
      <c r="F17" s="4" t="inlineStr">
        <is>
          <t>坪数</t>
        </is>
      </c>
      <c r="G17" s="4" t="inlineStr">
        <is>
          <t>伸びた要因分析</t>
        </is>
      </c>
      <c r="H17" s="4" t="inlineStr">
        <is>
          <t>カテゴリ</t>
        </is>
      </c>
    </row>
    <row r="18">
      <c r="A18" s="25" t="n">
        <v>1</v>
      </c>
      <c r="B18" s="25" t="inlineStr">
        <is>
          <t>小さなかわいい平屋</t>
        </is>
      </c>
      <c r="C18" s="25" t="inlineStr">
        <is>
          <t>99万</t>
        </is>
      </c>
      <c r="D18" s="25" t="inlineStr">
        <is>
          <t>3LDK</t>
        </is>
      </c>
      <c r="E18" s="25" t="inlineStr">
        <is>
          <t>1,980万</t>
        </is>
      </c>
      <c r="F18" s="25" t="inlineStr">
        <is>
          <t>25坪</t>
        </is>
      </c>
      <c r="G18" s="25" t="inlineStr">
        <is>
          <t>「小さい」+「かわいい」の最強組み合わせ。女性54%の視聴者に刺さる。シンプルで覚えやすいタイトル</t>
        </is>
      </c>
      <c r="H18" s="25" t="inlineStr">
        <is>
          <t>かわいい系</t>
        </is>
      </c>
    </row>
    <row r="19">
      <c r="A19" s="25" t="n">
        <v>2</v>
      </c>
      <c r="B19" s="25" t="inlineStr">
        <is>
          <t>老後も安心して過ごせる最先端の平屋</t>
        </is>
      </c>
      <c r="C19" s="25" t="inlineStr">
        <is>
          <t>91万</t>
        </is>
      </c>
      <c r="D19" s="25" t="inlineStr">
        <is>
          <t>2LDK</t>
        </is>
      </c>
      <c r="E19" s="25" t="inlineStr">
        <is>
          <t>2,880万</t>
        </is>
      </c>
      <c r="F19" s="25" t="inlineStr">
        <is>
          <t>32坪</t>
        </is>
      </c>
      <c r="G19" s="25" t="inlineStr">
        <is>
          <t>最多視聴者層(55-64歳)のど真ん中ニーズ。「安心」という感情訴求+「最先端」で新しさ</t>
        </is>
      </c>
      <c r="H19" s="25" t="inlineStr">
        <is>
          <t>老後安心系</t>
        </is>
      </c>
    </row>
    <row r="20">
      <c r="A20" s="25" t="n">
        <v>3</v>
      </c>
      <c r="B20" s="25" t="inlineStr">
        <is>
          <t>完璧な間取りのお洒落で超かわいい平屋</t>
        </is>
      </c>
      <c r="C20" s="25" t="inlineStr">
        <is>
          <t>78万</t>
        </is>
      </c>
      <c r="D20" s="25" t="inlineStr">
        <is>
          <t>3LDK</t>
        </is>
      </c>
      <c r="E20" s="25" t="inlineStr">
        <is>
          <t>2,580万</t>
        </is>
      </c>
      <c r="F20" s="25" t="inlineStr">
        <is>
          <t>30坪</t>
        </is>
      </c>
      <c r="G20" s="25" t="inlineStr">
        <is>
          <t>「完璧」「超かわいい」の強い形容詞スタック。間取りへの関心を刺激</t>
        </is>
      </c>
      <c r="H20" s="25" t="inlineStr">
        <is>
          <t>かわいい系</t>
        </is>
      </c>
    </row>
    <row r="21">
      <c r="A21" s="5" t="n">
        <v>4</v>
      </c>
      <c r="B21" s="5" t="inlineStr">
        <is>
          <t>超有名な一級建築家の作る天才的な平屋</t>
        </is>
      </c>
      <c r="C21" s="5" t="inlineStr">
        <is>
          <t>59万</t>
        </is>
      </c>
      <c r="D21" s="5" t="inlineStr">
        <is>
          <t>3LDK</t>
        </is>
      </c>
      <c r="E21" s="5" t="inlineStr">
        <is>
          <t>4,200万</t>
        </is>
      </c>
      <c r="F21" s="5" t="inlineStr">
        <is>
          <t>38坪</t>
        </is>
      </c>
      <c r="G21" s="5" t="inlineStr">
        <is>
          <t>権威性（一級建築家）+驚き（天才的）。価格が高くても「建築家」で納得感</t>
        </is>
      </c>
      <c r="H21" s="5" t="inlineStr">
        <is>
          <t>権威・驚き系</t>
        </is>
      </c>
    </row>
    <row r="22">
      <c r="A22" s="5" t="n">
        <v>5</v>
      </c>
      <c r="B22" s="5" t="inlineStr">
        <is>
          <t>お値段大公開！20坪の小さな高性能平屋</t>
        </is>
      </c>
      <c r="C22" s="5" t="inlineStr">
        <is>
          <t>59万</t>
        </is>
      </c>
      <c r="D22" s="5" t="inlineStr">
        <is>
          <t>2LDK</t>
        </is>
      </c>
      <c r="E22" s="5" t="inlineStr">
        <is>
          <t>1,580万</t>
        </is>
      </c>
      <c r="F22" s="5" t="inlineStr">
        <is>
          <t>20坪</t>
        </is>
      </c>
      <c r="G22" s="5" t="inlineStr">
        <is>
          <t>価格透明性への強い需要。「お値段大公開」で好奇心を刺激。小さい+高性能の対比</t>
        </is>
      </c>
      <c r="H22" s="5" t="inlineStr">
        <is>
          <t>価格公開系</t>
        </is>
      </c>
    </row>
    <row r="23">
      <c r="A23" s="5" t="n">
        <v>6</v>
      </c>
      <c r="B23" s="5" t="inlineStr">
        <is>
          <t>完全に大人の女性に似合う平屋！</t>
        </is>
      </c>
      <c r="C23" s="5" t="inlineStr">
        <is>
          <t>50万</t>
        </is>
      </c>
      <c r="D23" s="5" t="inlineStr">
        <is>
          <t>3LDK</t>
        </is>
      </c>
      <c r="E23" s="5" t="inlineStr">
        <is>
          <t>2,780万</t>
        </is>
      </c>
      <c r="F23" s="5" t="inlineStr">
        <is>
          <t>32坪</t>
        </is>
      </c>
      <c r="G23" s="5" t="inlineStr">
        <is>
          <t>ターゲット明確化（大人の女性）。視聴者の54%が女性→自分ごと化しやすい</t>
        </is>
      </c>
      <c r="H23" s="5" t="inlineStr">
        <is>
          <t>女性ターゲット系</t>
        </is>
      </c>
    </row>
    <row r="24">
      <c r="A24" s="5" t="n">
        <v>7</v>
      </c>
      <c r="B24" s="5" t="inlineStr">
        <is>
          <t>嘘だろ...これが平屋はヤバすぎる！</t>
        </is>
      </c>
      <c r="C24" s="5" t="inlineStr">
        <is>
          <t>47万</t>
        </is>
      </c>
      <c r="D24" s="5" t="inlineStr">
        <is>
          <t>4LDK</t>
        </is>
      </c>
      <c r="E24" s="5" t="inlineStr">
        <is>
          <t>3,500万</t>
        </is>
      </c>
      <c r="F24" s="5" t="inlineStr">
        <is>
          <t>42坪</t>
        </is>
      </c>
      <c r="G24" s="5" t="inlineStr">
        <is>
          <t>驚き・衝撃系フック。「嘘だろ」「ヤバすぎる」で好奇心を煽る</t>
        </is>
      </c>
      <c r="H24" s="5" t="inlineStr">
        <is>
          <t>驚き系</t>
        </is>
      </c>
    </row>
    <row r="25">
      <c r="A25" s="5" t="n">
        <v>8</v>
      </c>
      <c r="B25" s="5" t="inlineStr">
        <is>
          <t>令和時代に超人気な間取りの平屋</t>
        </is>
      </c>
      <c r="C25" s="5" t="inlineStr">
        <is>
          <t>47万</t>
        </is>
      </c>
      <c r="D25" s="5" t="inlineStr">
        <is>
          <t>3LDK</t>
        </is>
      </c>
      <c r="E25" s="5" t="inlineStr">
        <is>
          <t>2,480万</t>
        </is>
      </c>
      <c r="F25" s="5" t="inlineStr">
        <is>
          <t>30坪</t>
        </is>
      </c>
      <c r="G25" s="5" t="inlineStr">
        <is>
          <t>時代性（令和）+社会的証明（超人気）。トレンド感で関心を引く</t>
        </is>
      </c>
      <c r="H25" s="5" t="inlineStr">
        <is>
          <t>トレンド系</t>
        </is>
      </c>
    </row>
    <row r="26">
      <c r="A26" s="5" t="n">
        <v>9</v>
      </c>
      <c r="B26" s="5" t="inlineStr">
        <is>
          <t>えっヤバすぎ！これはもはや平屋ではない。</t>
        </is>
      </c>
      <c r="C26" s="5" t="inlineStr">
        <is>
          <t>47万</t>
        </is>
      </c>
      <c r="D26" s="5" t="inlineStr">
        <is>
          <t>4LDK+S</t>
        </is>
      </c>
      <c r="E26" s="5" t="inlineStr">
        <is>
          <t>3,800万</t>
        </is>
      </c>
      <c r="F26" s="5" t="inlineStr">
        <is>
          <t>45坪</t>
        </is>
      </c>
      <c r="G26" s="5" t="inlineStr">
        <is>
          <t>驚き系フック。「平屋ではない」で常識を覆す好奇心。大型で豪華</t>
        </is>
      </c>
      <c r="H26" s="5" t="inlineStr">
        <is>
          <t>驚き系</t>
        </is>
      </c>
    </row>
    <row r="27">
      <c r="A27" s="5" t="n">
        <v>10</v>
      </c>
      <c r="B27" s="5" t="inlineStr">
        <is>
          <t>女性設計士の作るボーホーインテリアのかわいい平屋</t>
        </is>
      </c>
      <c r="C27" s="5" t="inlineStr">
        <is>
          <t>44万</t>
        </is>
      </c>
      <c r="D27" s="5" t="inlineStr">
        <is>
          <t>3LDK</t>
        </is>
      </c>
      <c r="E27" s="5" t="inlineStr">
        <is>
          <t>2,380万</t>
        </is>
      </c>
      <c r="F27" s="5" t="inlineStr">
        <is>
          <t>28坪</t>
        </is>
      </c>
      <c r="G27" s="5" t="inlineStr">
        <is>
          <t>「女性設計士」で共感+専門テイスト名（ボーホー）。やや専門的で層が限定</t>
        </is>
      </c>
      <c r="H27" s="5" t="inlineStr">
        <is>
          <t>デザイン系</t>
        </is>
      </c>
    </row>
    <row r="28">
      <c r="A28" s="5" t="n">
        <v>11</v>
      </c>
      <c r="B28" s="5" t="inlineStr">
        <is>
          <t>シンプルおしゃれの小さく可愛い平屋</t>
        </is>
      </c>
      <c r="C28" s="5" t="inlineStr">
        <is>
          <t>40万</t>
        </is>
      </c>
      <c r="D28" s="5" t="inlineStr">
        <is>
          <t>2LDK</t>
        </is>
      </c>
      <c r="E28" s="5" t="inlineStr">
        <is>
          <t>1,880万</t>
        </is>
      </c>
      <c r="F28" s="5" t="inlineStr">
        <is>
          <t>22坪</t>
        </is>
      </c>
      <c r="G28" s="5" t="inlineStr">
        <is>
          <t>キーワードは良いが差別化弱い。「シンプル」「おしゃれ」は汎用的すぎる</t>
        </is>
      </c>
      <c r="H28" s="5" t="inlineStr">
        <is>
          <t>かわいい系</t>
        </is>
      </c>
    </row>
    <row r="30">
      <c r="A30" s="9" t="inlineStr">
        <is>
          <t>勝ちパターン分析 — タイトル・テーマ・選定の法則</t>
        </is>
      </c>
    </row>
    <row r="31">
      <c r="A31" s="4" t="inlineStr">
        <is>
          <t>パターン</t>
        </is>
      </c>
      <c r="B31" s="4" t="inlineStr">
        <is>
          <t>再生数傾向</t>
        </is>
      </c>
      <c r="C31" s="4" t="inlineStr">
        <is>
          <t>タイトルの特徴</t>
        </is>
      </c>
      <c r="D31" s="4" t="inlineStr">
        <is>
          <t>具体例</t>
        </is>
      </c>
      <c r="E31" s="4" t="inlineStr">
        <is>
          <t>視聴者心理</t>
        </is>
      </c>
      <c r="F31" s="4" t="inlineStr">
        <is>
          <t>推奨頻度</t>
        </is>
      </c>
      <c r="G31" s="4" t="inlineStr">
        <is>
          <t>注意点</t>
        </is>
      </c>
    </row>
    <row r="32">
      <c r="A32" s="5" t="inlineStr">
        <is>
          <t>①かわいい/おしゃれ系</t>
        </is>
      </c>
      <c r="B32" s="5" t="inlineStr">
        <is>
          <t>40万-99万（最強）</t>
        </is>
      </c>
      <c r="C32" s="5" t="inlineStr">
        <is>
          <t>「かわいい」「おしゃれ」+サイズ感</t>
        </is>
      </c>
      <c r="D32" s="5" t="inlineStr">
        <is>
          <t>小さなかわいい平屋</t>
        </is>
      </c>
      <c r="E32" s="5" t="inlineStr">
        <is>
          <t>女性54%の視聴者が「自分の家もこうしたい」と感情移入</t>
        </is>
      </c>
      <c r="F32" s="5" t="inlineStr">
        <is>
          <t>月2本</t>
        </is>
      </c>
      <c r="G32" s="5" t="inlineStr">
        <is>
          <t>毎回「かわいい」だけだと飽きる。切り口を変える</t>
        </is>
      </c>
    </row>
    <row r="33">
      <c r="A33" s="5" t="inlineStr">
        <is>
          <t>②老後安心/バリアフリー系</t>
        </is>
      </c>
      <c r="B33" s="5" t="inlineStr">
        <is>
          <t>91万（2位）</t>
        </is>
      </c>
      <c r="C33" s="5" t="inlineStr">
        <is>
          <t>「安心」「老後」+機能性</t>
        </is>
      </c>
      <c r="D33" s="5" t="inlineStr">
        <is>
          <t>老後も安心して過ごせる最先端の平屋</t>
        </is>
      </c>
      <c r="E33" s="5" t="inlineStr">
        <is>
          <t>最多層(55-64歳)が「将来の自分の家」として視聴</t>
        </is>
      </c>
      <c r="F33" s="5" t="inlineStr">
        <is>
          <t>月1本</t>
        </is>
      </c>
      <c r="G33" s="5" t="inlineStr">
        <is>
          <t>暗くならないよう「最先端」「快適」等ポジティブ表現と組み合わせ</t>
        </is>
      </c>
    </row>
    <row r="34">
      <c r="A34" s="5" t="inlineStr">
        <is>
          <t>③価格公開/コスパ系</t>
        </is>
      </c>
      <c r="B34" s="5" t="inlineStr">
        <is>
          <t>59万</t>
        </is>
      </c>
      <c r="C34" s="5" t="inlineStr">
        <is>
          <t>「お値段大公開」「○○万円」と金額を明示</t>
        </is>
      </c>
      <c r="D34" s="5" t="inlineStr">
        <is>
          <t>お値段大公開！20坪の小さな高性能平屋</t>
        </is>
      </c>
      <c r="E34" s="5" t="inlineStr">
        <is>
          <t>「いくらで建てられるか」は全層共通の最大関心事</t>
        </is>
      </c>
      <c r="F34" s="5" t="inlineStr">
        <is>
          <t>月1本</t>
        </is>
      </c>
      <c r="G34" s="5" t="inlineStr">
        <is>
          <t>安い家だけでなく「この性能でこの値段」の対比が重要</t>
        </is>
      </c>
    </row>
    <row r="35">
      <c r="A35" s="5" t="inlineStr">
        <is>
          <t>④驚き/衝撃系</t>
        </is>
      </c>
      <c r="B35" s="5" t="inlineStr">
        <is>
          <t>47万-59万</t>
        </is>
      </c>
      <c r="C35" s="5" t="inlineStr">
        <is>
          <t>「嘘だろ」「ヤバすぎる」「天才的」</t>
        </is>
      </c>
      <c r="D35" s="5" t="inlineStr">
        <is>
          <t>嘘だろ...これが平屋はヤバすぎる！</t>
        </is>
      </c>
      <c r="E35" s="5" t="inlineStr">
        <is>
          <t>好奇心を刺激してクリック率を上げる</t>
        </is>
      </c>
      <c r="F35" s="5" t="inlineStr">
        <is>
          <t>月1本</t>
        </is>
      </c>
      <c r="G35" s="5" t="inlineStr">
        <is>
          <t>毎回驚きだと信頼性が下がる。実際に驚く家を選ぶこと</t>
        </is>
      </c>
    </row>
    <row r="36">
      <c r="A36" s="5" t="inlineStr">
        <is>
          <t>⑤女性ターゲット明示系</t>
        </is>
      </c>
      <c r="B36" s="5" t="inlineStr">
        <is>
          <t>44万-50万</t>
        </is>
      </c>
      <c r="C36" s="5" t="inlineStr">
        <is>
          <t>「女性に似合う」「女性設計士」</t>
        </is>
      </c>
      <c r="D36" s="5" t="inlineStr">
        <is>
          <t>完全に大人の女性に似合う平屋！</t>
        </is>
      </c>
      <c r="E36" s="5" t="inlineStr">
        <is>
          <t>女性視聴者が「私向けだ」と自分ごと化</t>
        </is>
      </c>
      <c r="F36" s="5" t="inlineStr">
        <is>
          <t>月1本</t>
        </is>
      </c>
      <c r="G36" s="5" t="inlineStr">
        <is>
          <t>男性を排除しない表現に注意。「夫婦で」等の表現も有効</t>
        </is>
      </c>
    </row>
    <row r="37">
      <c r="A37" s="5" t="inlineStr">
        <is>
          <t>⑥トレンド/時代系</t>
        </is>
      </c>
      <c r="B37" s="5" t="inlineStr">
        <is>
          <t>47万</t>
        </is>
      </c>
      <c r="C37" s="5" t="inlineStr">
        <is>
          <t>「令和」「2026年最新」「今人気」</t>
        </is>
      </c>
      <c r="D37" s="5" t="inlineStr">
        <is>
          <t>令和時代に超人気な間取りの平屋</t>
        </is>
      </c>
      <c r="E37" s="5" t="inlineStr">
        <is>
          <t>「今これが流行っている」という社会的証明</t>
        </is>
      </c>
      <c r="F37" s="5" t="inlineStr">
        <is>
          <t>月1本</t>
        </is>
      </c>
      <c r="G37" s="5" t="inlineStr">
        <is>
          <t>具体的なトレンド名を入れると刺さる（ZEH/断熱等級7等）</t>
        </is>
      </c>
    </row>
    <row r="38">
      <c r="A38" s="5" t="inlineStr">
        <is>
          <t>⑦小さい家/コンパクト系</t>
        </is>
      </c>
      <c r="B38" s="5" t="inlineStr">
        <is>
          <t>40万-99万</t>
        </is>
      </c>
      <c r="C38" s="5" t="inlineStr">
        <is>
          <t>「小さな」「○○坪」サイズ明示</t>
        </is>
      </c>
      <c r="D38" s="5" t="inlineStr">
        <is>
          <t>小さなかわいい平屋 / シンプルおしゃれの小さく可愛い平屋</t>
        </is>
      </c>
      <c r="E38" s="5" t="inlineStr">
        <is>
          <t>「大きい家より自分に合った家」が今の価値観</t>
        </is>
      </c>
      <c r="F38" s="5" t="inlineStr">
        <is>
          <t>月1本</t>
        </is>
      </c>
      <c r="G38" s="5" t="inlineStr">
        <is>
          <t>「小さい=安い」ではなく「小さい=賢い」のポジショニング</t>
        </is>
      </c>
    </row>
    <row r="40">
      <c r="A40" s="9" t="inlineStr">
        <is>
          <t>伸びる家の選定基準 — 撮影する家を選ぶ時の判断軸</t>
        </is>
      </c>
    </row>
    <row r="41">
      <c r="A41" s="4" t="inlineStr">
        <is>
          <t>選定基準</t>
        </is>
      </c>
      <c r="B41" s="4" t="inlineStr">
        <is>
          <t>重要度</t>
        </is>
      </c>
      <c r="C41" s="4" t="inlineStr">
        <is>
          <t>理由</t>
        </is>
      </c>
      <c r="D41" s="4" t="inlineStr">
        <is>
          <t>確認方法</t>
        </is>
      </c>
    </row>
    <row r="42">
      <c r="A42" s="5" t="inlineStr">
        <is>
          <t>「かわいい」「おしゃれ」と言える外観・内装か</t>
        </is>
      </c>
      <c r="B42" s="19" t="inlineStr">
        <is>
          <t>最重要</t>
        </is>
      </c>
      <c r="C42" s="5" t="inlineStr">
        <is>
          <t>かわいい系が再生数1位（99万）。視覚的な第一印象がクリック率を決める</t>
        </is>
      </c>
      <c r="D42" s="5" t="inlineStr">
        <is>
          <t>外観写真を見て「かわいい」と言えるか直感チェック</t>
        </is>
      </c>
    </row>
    <row r="43">
      <c r="A43" s="5" t="inlineStr">
        <is>
          <t>視聴者の最多層（55-64歳）に刺さるテーマがあるか</t>
        </is>
      </c>
      <c r="B43" s="19" t="inlineStr">
        <is>
          <t>最重要</t>
        </is>
      </c>
      <c r="C43" s="5" t="inlineStr">
        <is>
          <t>視聴者の35.3%が55-64歳。老後/バリアフリー/コンパクト/安心がキーワード</t>
        </is>
      </c>
      <c r="D43" s="5" t="inlineStr">
        <is>
          <t>家の特徴に老後/バリアフリー/コンパクト要素があるか</t>
        </is>
      </c>
    </row>
    <row r="44">
      <c r="A44" s="5" t="inlineStr">
        <is>
          <t>タイトルで感情を動かせる特徴があるか</t>
        </is>
      </c>
      <c r="B44" s="20" t="inlineStr">
        <is>
          <t>高</t>
        </is>
      </c>
      <c r="C44" s="5" t="inlineStr">
        <is>
          <t>驚き/憧れ/共感/好奇心のいずれかを刺激できないとクリックされない</t>
        </is>
      </c>
      <c r="D44" s="5" t="inlineStr">
        <is>
          <t>1行で「おっ」と思える特徴があるか</t>
        </is>
      </c>
    </row>
    <row r="45">
      <c r="A45" s="5" t="inlineStr">
        <is>
          <t>価格帯が1,500万-3,000万円か</t>
        </is>
      </c>
      <c r="B45" s="20" t="inlineStr">
        <is>
          <t>高</t>
        </is>
      </c>
      <c r="C45" s="5" t="inlineStr">
        <is>
          <t>この価格帯が最も視聴者の現実的な検討範囲。高すぎると「自分には関係ない」</t>
        </is>
      </c>
      <c r="D45" s="5" t="inlineStr">
        <is>
          <t>総額を確認</t>
        </is>
      </c>
    </row>
    <row r="46">
      <c r="A46" s="5" t="inlineStr">
        <is>
          <t>20-32坪のコンパクトサイズか</t>
        </is>
      </c>
      <c r="B46" s="20" t="inlineStr">
        <is>
          <t>高</t>
        </is>
      </c>
      <c r="C46" s="5" t="inlineStr">
        <is>
          <t>小さい家ほど再生数が高い傾向（99万=25坪, 91万=32坪）</t>
        </is>
      </c>
      <c r="D46" s="5" t="inlineStr">
        <is>
          <t>延床面積を確認</t>
        </is>
      </c>
    </row>
    <row r="47">
      <c r="A47" s="5" t="inlineStr">
        <is>
          <t>間取りに特徴があるか（家事動線/回遊動線/中庭等）</t>
        </is>
      </c>
      <c r="B47" s="5" t="inlineStr">
        <is>
          <t>中</t>
        </is>
      </c>
      <c r="C47" s="5" t="inlineStr">
        <is>
          <t>「完璧な間取り」が78万再生。間取りへの関心は強い</t>
        </is>
      </c>
      <c r="D47" s="5" t="inlineStr">
        <is>
          <t>間取り図を見て語れるポイントがあるか</t>
        </is>
      </c>
    </row>
    <row r="48">
      <c r="A48" s="5" t="inlineStr">
        <is>
          <t>女性目線のデザイン要素があるか</t>
        </is>
      </c>
      <c r="B48" s="5" t="inlineStr">
        <is>
          <t>中</t>
        </is>
      </c>
      <c r="C48" s="5" t="inlineStr">
        <is>
          <t>視聴者54%が女性。キッチン/収納/インテリアが響く</t>
        </is>
      </c>
      <c r="D48" s="5" t="inlineStr">
        <is>
          <t>女性が「住みたい」と思える空間か</t>
        </is>
      </c>
    </row>
    <row r="49">
      <c r="A49" s="5" t="inlineStr">
        <is>
          <t>工務店のストーリーが面白いか</t>
        </is>
      </c>
      <c r="B49" s="5" t="inlineStr">
        <is>
          <t>中</t>
        </is>
      </c>
      <c r="C49" s="5" t="inlineStr">
        <is>
          <t>取材動画として工務店の哲学/こだわりが語れるか</t>
        </is>
      </c>
      <c r="D49" s="5" t="inlineStr">
        <is>
          <t>工務店との事前会話で確認</t>
        </is>
      </c>
    </row>
    <row r="50">
      <c r="A50" s="5" t="inlineStr">
        <is>
          <t>九州（鹿児島・福岡）エリアか</t>
        </is>
      </c>
      <c r="B50" s="5" t="inlineStr">
        <is>
          <t>中</t>
        </is>
      </c>
      <c r="C50" s="5" t="inlineStr">
        <is>
          <t>ぺいほーむのブランドエリア。地域密着が信頼につながる</t>
        </is>
      </c>
      <c r="D50" s="5" t="inlineStr">
        <is>
          <t>所在地確認</t>
        </is>
      </c>
    </row>
    <row r="51">
      <c r="A51" s="5" t="inlineStr">
        <is>
          <t>性能面で語れるポイントがあるか（ZEH/断熱等級/耐震等級）</t>
        </is>
      </c>
      <c r="B51" s="5" t="inlineStr">
        <is>
          <t>低</t>
        </is>
      </c>
      <c r="C51" s="5" t="inlineStr">
        <is>
          <t>性能は興味の入口にはなりにくいが、動画内の説明で深みが出る</t>
        </is>
      </c>
      <c r="D51" s="5" t="inlineStr">
        <is>
          <t>仕様書を確認</t>
        </is>
      </c>
    </row>
    <row r="53">
      <c r="A53" s="9" t="inlineStr">
        <is>
          <t>推奨 月間投稿ミックス（月8本目標）</t>
        </is>
      </c>
    </row>
    <row r="54">
      <c r="A54" s="4" t="inlineStr">
        <is>
          <t>週</t>
        </is>
      </c>
      <c r="B54" s="4" t="inlineStr">
        <is>
          <t>本数</t>
        </is>
      </c>
      <c r="C54" s="4" t="inlineStr">
        <is>
          <t>推奨パターン</t>
        </is>
      </c>
      <c r="D54" s="4" t="inlineStr">
        <is>
          <t>タイトル例</t>
        </is>
      </c>
      <c r="E54" s="4" t="inlineStr">
        <is>
          <t>備考</t>
        </is>
      </c>
    </row>
    <row r="55">
      <c r="A55" s="5" t="inlineStr">
        <is>
          <t>Week 1</t>
        </is>
      </c>
      <c r="B55" s="5" t="inlineStr">
        <is>
          <t>2本</t>
        </is>
      </c>
      <c r="C55" s="5" t="inlineStr">
        <is>
          <t>①かわいい系 + ③価格公開系</t>
        </is>
      </c>
      <c r="D55" s="5" t="inlineStr">
        <is>
          <t>「小さなかわいい平屋」+「お値段大公開！○○万円の高性能平屋」</t>
        </is>
      </c>
      <c r="E55" s="5" t="inlineStr">
        <is>
          <t>かわいい系は毎月必ず1本以上</t>
        </is>
      </c>
    </row>
    <row r="56">
      <c r="A56" s="5" t="inlineStr">
        <is>
          <t>Week 2</t>
        </is>
      </c>
      <c r="B56" s="5" t="inlineStr">
        <is>
          <t>2本</t>
        </is>
      </c>
      <c r="C56" s="5" t="inlineStr">
        <is>
          <t>②老後安心系 + ④驚き系</t>
        </is>
      </c>
      <c r="D56" s="5" t="inlineStr">
        <is>
          <t>「老後に最適な平屋」+「嘘だろ...この平屋はヤバすぎる」</t>
        </is>
      </c>
      <c r="E56" s="5" t="inlineStr">
        <is>
          <t>老後系は最多視聴者層に直撃</t>
        </is>
      </c>
    </row>
    <row r="57">
      <c r="A57" s="5" t="inlineStr">
        <is>
          <t>Week 3</t>
        </is>
      </c>
      <c r="B57" s="5" t="inlineStr">
        <is>
          <t>2本</t>
        </is>
      </c>
      <c r="C57" s="5" t="inlineStr">
        <is>
          <t>⑤女性ターゲット系 + ⑦コンパクト系</t>
        </is>
      </c>
      <c r="D57" s="5" t="inlineStr">
        <is>
          <t>「女性が憧れる平屋」+「20坪でここまでできる平屋」</t>
        </is>
      </c>
      <c r="E57" s="5" t="inlineStr">
        <is>
          <t>女性比率54%を活かす</t>
        </is>
      </c>
    </row>
    <row r="58">
      <c r="A58" s="5" t="inlineStr">
        <is>
          <t>Week 4</t>
        </is>
      </c>
      <c r="B58" s="5" t="inlineStr">
        <is>
          <t>2本</t>
        </is>
      </c>
      <c r="C58" s="5" t="inlineStr">
        <is>
          <t>⑥トレンド系 + 自由枠</t>
        </is>
      </c>
      <c r="D58" s="5" t="inlineStr">
        <is>
          <t>「2026年最も選ばれている間取り」+ 取材/比較/特集</t>
        </is>
      </c>
      <c r="E58" s="5" t="inlineStr">
        <is>
          <t>自由枠で実験的なテーマも</t>
        </is>
      </c>
    </row>
  </sheetData>
  <mergeCells count="6">
    <mergeCell ref="A3:H3"/>
    <mergeCell ref="A30:H30"/>
    <mergeCell ref="A53:H53"/>
    <mergeCell ref="A16:H16"/>
    <mergeCell ref="A1:H1"/>
    <mergeCell ref="A40:H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0000"/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14" customWidth="1" min="4" max="4"/>
    <col width="20" customWidth="1" min="5" max="5"/>
    <col width="35" customWidth="1" min="6" max="6"/>
    <col width="28" customWidth="1" min="7" max="7"/>
    <col width="22" customWidth="1" min="8" max="8"/>
    <col width="8" customWidth="1" min="9" max="9"/>
    <col width="10" customWidth="1" min="10" max="10"/>
    <col width="12" customWidth="1" min="11" max="11"/>
    <col width="8" customWidth="1" min="12" max="12"/>
    <col width="25" customWidth="1" min="13" max="13"/>
  </cols>
  <sheetData>
    <row r="1">
      <c r="A1" s="4" t="inlineStr">
        <is>
          <t>月</t>
        </is>
      </c>
      <c r="B1" s="4" t="inlineStr">
        <is>
          <t>週</t>
        </is>
      </c>
      <c r="C1" s="4" t="inlineStr">
        <is>
          <t>投稿日</t>
        </is>
      </c>
      <c r="D1" s="4" t="inlineStr">
        <is>
          <t>パターン</t>
        </is>
      </c>
      <c r="E1" s="4" t="inlineStr">
        <is>
          <t>撮影対象（工務店/物件）</t>
        </is>
      </c>
      <c r="F1" s="4" t="inlineStr">
        <is>
          <t>タイトル案</t>
        </is>
      </c>
      <c r="G1" s="4" t="inlineStr">
        <is>
          <t>サムネ案</t>
        </is>
      </c>
      <c r="H1" s="4" t="inlineStr">
        <is>
          <t>概要欄CTA</t>
        </is>
      </c>
      <c r="I1" s="4" t="inlineStr">
        <is>
          <t>撮影日</t>
        </is>
      </c>
      <c r="J1" s="4" t="inlineStr">
        <is>
          <t>編集担当</t>
        </is>
      </c>
      <c r="K1" s="4" t="inlineStr">
        <is>
          <t>ステータス</t>
        </is>
      </c>
      <c r="L1" s="4" t="inlineStr">
        <is>
          <t>再生数</t>
        </is>
      </c>
      <c r="M1" s="4" t="inlineStr">
        <is>
          <t>備考</t>
        </is>
      </c>
    </row>
    <row r="2">
      <c r="A2" s="5" t="inlineStr">
        <is>
          <t>4月</t>
        </is>
      </c>
      <c r="B2" s="5" t="inlineStr">
        <is>
          <t>W1</t>
        </is>
      </c>
      <c r="C2" s="5" t="inlineStr">
        <is>
          <t>04/01</t>
        </is>
      </c>
      <c r="D2" s="5" t="inlineStr">
        <is>
          <t>①かわいい系</t>
        </is>
      </c>
      <c r="E2" s="5" t="inlineStr"/>
      <c r="F2" s="5" t="inlineStr">
        <is>
          <t>【タイトル案】小さくてかわいい平屋を見つけた！</t>
        </is>
      </c>
      <c r="G2" s="5" t="inlineStr">
        <is>
          <t>かわいい外観のアップ+「小さな平屋」テキスト</t>
        </is>
      </c>
      <c r="H2" s="5" t="inlineStr">
        <is>
          <t>Web→相談/資料請求/見学会</t>
        </is>
      </c>
      <c r="I2" s="5" t="inlineStr"/>
      <c r="J2" s="5" t="inlineStr"/>
      <c r="K2" s="5" t="inlineStr">
        <is>
          <t>企画中</t>
        </is>
      </c>
      <c r="L2" s="5" t="inlineStr"/>
      <c r="M2" s="5" t="inlineStr">
        <is>
          <t>概要欄にぺいほーむURL必須</t>
        </is>
      </c>
    </row>
    <row r="3">
      <c r="A3" s="5" t="inlineStr">
        <is>
          <t>4月</t>
        </is>
      </c>
      <c r="B3" s="5" t="inlineStr">
        <is>
          <t>W1</t>
        </is>
      </c>
      <c r="C3" s="5" t="inlineStr">
        <is>
          <t>04/04</t>
        </is>
      </c>
      <c r="D3" s="5" t="inlineStr">
        <is>
          <t>③価格公開系</t>
        </is>
      </c>
      <c r="E3" s="5" t="inlineStr"/>
      <c r="F3" s="5" t="inlineStr">
        <is>
          <t>【タイトル案】お値段全公開！2,000万円以下の高性能平屋</t>
        </is>
      </c>
      <c r="G3" s="5" t="inlineStr">
        <is>
          <t>価格大きく表示+「全公開」スタンプ</t>
        </is>
      </c>
      <c r="H3" s="5" t="inlineStr">
        <is>
          <t>Web→ローンシミュレーター</t>
        </is>
      </c>
      <c r="I3" s="5" t="inlineStr"/>
      <c r="J3" s="5" t="inlineStr"/>
      <c r="K3" s="5" t="inlineStr">
        <is>
          <t>企画中</t>
        </is>
      </c>
      <c r="L3" s="5" t="inlineStr"/>
      <c r="M3" s="5" t="inlineStr">
        <is>
          <t>価格への関心は全層共通</t>
        </is>
      </c>
    </row>
    <row r="4">
      <c r="A4" s="5" t="inlineStr">
        <is>
          <t>4月</t>
        </is>
      </c>
      <c r="B4" s="5" t="inlineStr">
        <is>
          <t>W2</t>
        </is>
      </c>
      <c r="C4" s="5" t="inlineStr">
        <is>
          <t>04/08</t>
        </is>
      </c>
      <c r="D4" s="5" t="inlineStr">
        <is>
          <t>②老後安心系</t>
        </is>
      </c>
      <c r="E4" s="5" t="inlineStr"/>
      <c r="F4" s="5" t="inlineStr">
        <is>
          <t>【タイトル案】60代夫婦が選んだ最高の平屋暮らし</t>
        </is>
      </c>
      <c r="G4" s="5" t="inlineStr">
        <is>
          <t>シニア夫婦+明るいリビング</t>
        </is>
      </c>
      <c r="H4" s="5" t="inlineStr">
        <is>
          <t>Web→相談</t>
        </is>
      </c>
      <c r="I4" s="5" t="inlineStr"/>
      <c r="J4" s="5" t="inlineStr"/>
      <c r="K4" s="5" t="inlineStr">
        <is>
          <t>企画中</t>
        </is>
      </c>
      <c r="L4" s="5" t="inlineStr"/>
      <c r="M4" s="5" t="inlineStr">
        <is>
          <t>最多視聴者層55-64歳に直撃</t>
        </is>
      </c>
    </row>
    <row r="5">
      <c r="A5" s="5" t="inlineStr">
        <is>
          <t>4月</t>
        </is>
      </c>
      <c r="B5" s="5" t="inlineStr">
        <is>
          <t>W2</t>
        </is>
      </c>
      <c r="C5" s="5" t="inlineStr">
        <is>
          <t>04/11</t>
        </is>
      </c>
      <c r="D5" s="5" t="inlineStr">
        <is>
          <t>④驚き系</t>
        </is>
      </c>
      <c r="E5" s="5" t="inlineStr"/>
      <c r="F5" s="5" t="inlineStr">
        <is>
          <t>【タイトル案】嘘でしょ...この平屋の間取りが天才すぎる</t>
        </is>
      </c>
      <c r="G5" s="5" t="inlineStr">
        <is>
          <t>驚き顔+間取り図チラ見せ</t>
        </is>
      </c>
      <c r="H5" s="5" t="inlineStr">
        <is>
          <t>Web→記事「間取りガイド」</t>
        </is>
      </c>
      <c r="I5" s="5" t="inlineStr"/>
      <c r="J5" s="5" t="inlineStr"/>
      <c r="K5" s="5" t="inlineStr">
        <is>
          <t>企画中</t>
        </is>
      </c>
      <c r="L5" s="5" t="inlineStr"/>
      <c r="M5" s="5" t="inlineStr">
        <is>
          <t>驚きが嘘にならない家を選ぶ</t>
        </is>
      </c>
    </row>
    <row r="6">
      <c r="A6" s="5" t="inlineStr">
        <is>
          <t>4月</t>
        </is>
      </c>
      <c r="B6" s="5" t="inlineStr">
        <is>
          <t>W3</t>
        </is>
      </c>
      <c r="C6" s="5" t="inlineStr">
        <is>
          <t>04/15</t>
        </is>
      </c>
      <c r="D6" s="5" t="inlineStr">
        <is>
          <t>⑤女性ターゲット系</t>
        </is>
      </c>
      <c r="E6" s="5" t="inlineStr"/>
      <c r="F6" s="5" t="inlineStr">
        <is>
          <t>【タイトル案】大人の女性が本当に住みたい平屋はこれだ</t>
        </is>
      </c>
      <c r="G6" s="5" t="inlineStr">
        <is>
          <t>おしゃれキッチン/インテリア</t>
        </is>
      </c>
      <c r="H6" s="5" t="inlineStr">
        <is>
          <t>Web→相談</t>
        </is>
      </c>
      <c r="I6" s="5" t="inlineStr"/>
      <c r="J6" s="5" t="inlineStr"/>
      <c r="K6" s="5" t="inlineStr">
        <is>
          <t>企画中</t>
        </is>
      </c>
      <c r="L6" s="5" t="inlineStr"/>
      <c r="M6" s="5" t="inlineStr">
        <is>
          <t>女性比率54%を活用</t>
        </is>
      </c>
    </row>
    <row r="7">
      <c r="A7" s="5" t="inlineStr">
        <is>
          <t>4月</t>
        </is>
      </c>
      <c r="B7" s="5" t="inlineStr">
        <is>
          <t>W3</t>
        </is>
      </c>
      <c r="C7" s="5" t="inlineStr">
        <is>
          <t>04/18</t>
        </is>
      </c>
      <c r="D7" s="5" t="inlineStr">
        <is>
          <t>⑦コンパクト系</t>
        </is>
      </c>
      <c r="E7" s="5" t="inlineStr"/>
      <c r="F7" s="5" t="inlineStr">
        <is>
          <t>【タイトル案】22坪でここまで快適！驚きのコンパクト平屋</t>
        </is>
      </c>
      <c r="G7" s="5" t="inlineStr">
        <is>
          <t>コンパクト間取り+「22坪」大きく</t>
        </is>
      </c>
      <c r="H7" s="5" t="inlineStr">
        <is>
          <t>Web→ローンシミュレーター</t>
        </is>
      </c>
      <c r="I7" s="5" t="inlineStr"/>
      <c r="J7" s="5" t="inlineStr"/>
      <c r="K7" s="5" t="inlineStr">
        <is>
          <t>企画中</t>
        </is>
      </c>
      <c r="L7" s="5" t="inlineStr"/>
      <c r="M7" s="5" t="inlineStr">
        <is>
          <t>小さい家＝賢い選択のポジショニング</t>
        </is>
      </c>
    </row>
    <row r="8">
      <c r="A8" s="5" t="inlineStr">
        <is>
          <t>4月</t>
        </is>
      </c>
      <c r="B8" s="5" t="inlineStr">
        <is>
          <t>W4</t>
        </is>
      </c>
      <c r="C8" s="5" t="inlineStr">
        <is>
          <t>04/22</t>
        </is>
      </c>
      <c r="D8" s="5" t="inlineStr">
        <is>
          <t>⑥トレンド系</t>
        </is>
      </c>
      <c r="E8" s="5" t="inlineStr"/>
      <c r="F8" s="5" t="inlineStr">
        <is>
          <t>【タイトル案】2026年最も人気のある平屋の間取りベスト3</t>
        </is>
      </c>
      <c r="G8" s="5" t="inlineStr">
        <is>
          <t>ランキング形式サムネ</t>
        </is>
      </c>
      <c r="H8" s="5" t="inlineStr">
        <is>
          <t>Web→記事</t>
        </is>
      </c>
      <c r="I8" s="5" t="inlineStr"/>
      <c r="J8" s="5" t="inlineStr"/>
      <c r="K8" s="5" t="inlineStr">
        <is>
          <t>企画中</t>
        </is>
      </c>
      <c r="L8" s="5" t="inlineStr"/>
      <c r="M8" s="5" t="inlineStr">
        <is>
          <t>ランキング形式は視聴時間が伸びる</t>
        </is>
      </c>
    </row>
    <row r="9">
      <c r="A9" s="5" t="inlineStr">
        <is>
          <t>4月</t>
        </is>
      </c>
      <c r="B9" s="5" t="inlineStr">
        <is>
          <t>W4</t>
        </is>
      </c>
      <c r="C9" s="5" t="inlineStr">
        <is>
          <t>04/25</t>
        </is>
      </c>
      <c r="D9" s="5" t="inlineStr">
        <is>
          <t>⑧取材/特集</t>
        </is>
      </c>
      <c r="E9" s="5" t="inlineStr"/>
      <c r="F9" s="5" t="inlineStr">
        <is>
          <t>【タイトル案】鹿児島で平屋を建てるならこの工務店（取材）</t>
        </is>
      </c>
      <c r="G9" s="5" t="inlineStr">
        <is>
          <t>工務店代表+施工事例</t>
        </is>
      </c>
      <c r="H9" s="5" t="inlineStr">
        <is>
          <t>Web→工務店詳細ページ</t>
        </is>
      </c>
      <c r="I9" s="5" t="inlineStr"/>
      <c r="J9" s="5" t="inlineStr"/>
      <c r="K9" s="5" t="inlineStr">
        <is>
          <t>企画中</t>
        </is>
      </c>
      <c r="L9" s="5" t="inlineStr"/>
      <c r="M9" s="5" t="inlineStr">
        <is>
          <t>パートナー工務店の取材動画</t>
        </is>
      </c>
    </row>
    <row r="10">
      <c r="A10" s="9" t="inlineStr">
        <is>
          <t>5月</t>
        </is>
      </c>
    </row>
    <row r="11">
      <c r="A11" s="21" t="inlineStr">
        <is>
          <t>5月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>
      <c r="A12" s="21" t="inlineStr">
        <is>
          <t>5月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>
      <c r="A13" s="21" t="inlineStr">
        <is>
          <t>5月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>
      <c r="A14" s="21" t="inlineStr">
        <is>
          <t>5月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>
      <c r="A15" s="21" t="inlineStr">
        <is>
          <t>5月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>
      <c r="A16" s="21" t="inlineStr">
        <is>
          <t>5月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>
      <c r="A17" s="21" t="inlineStr">
        <is>
          <t>5月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>
      <c r="A18" s="21" t="inlineStr">
        <is>
          <t>5月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>
      <c r="A19" s="9" t="inlineStr">
        <is>
          <t>6月</t>
        </is>
      </c>
    </row>
    <row r="20">
      <c r="A20" s="21" t="inlineStr">
        <is>
          <t>6月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>
      <c r="A21" s="21" t="inlineStr">
        <is>
          <t>6月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>
      <c r="A22" s="21" t="inlineStr">
        <is>
          <t>6月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>
      <c r="A23" s="21" t="inlineStr">
        <is>
          <t>6月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>
      <c r="A24" s="21" t="inlineStr">
        <is>
          <t>6月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>
      <c r="A25" s="21" t="inlineStr">
        <is>
          <t>6月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>
      <c r="A26" s="21" t="inlineStr">
        <is>
          <t>6月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>
      <c r="A27" s="21" t="inlineStr">
        <is>
          <t>6月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</sheetData>
  <mergeCells count="2">
    <mergeCell ref="A19:M19"/>
    <mergeCell ref="A10:M10"/>
  </mergeCells>
  <dataValidations count="2">
    <dataValidation sqref="K2:K60" showDropDown="0" showInputMessage="0" showErrorMessage="0" allowBlank="1" type="list">
      <formula1>"企画中,撮影待ち,撮影済,編集中,サムネ制作中,公開待ち,公開済"</formula1>
    </dataValidation>
    <dataValidation sqref="D2:D60" showDropDown="0" showInputMessage="0" showErrorMessage="0" allowBlank="1" type="list">
      <formula1>"①かわいい系,②老後安心系,③価格公開系,④驚き系,⑤女性ターゲット系,⑥トレンド系,⑦コンパクト系,⑧取材/特集"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0000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45" customWidth="1" min="4" max="4"/>
    <col width="45" customWidth="1" min="5" max="5"/>
    <col width="10" customWidth="1" min="6" max="6"/>
  </cols>
  <sheetData>
    <row r="1">
      <c r="A1" s="1" t="inlineStr">
        <is>
          <t>YouTube動画トンマナ — コメント分析に基づく動画構成強化ガイド</t>
        </is>
      </c>
    </row>
    <row r="3">
      <c r="A3" s="9" t="inlineStr">
        <is>
          <t>コメント分析結果 — 視聴者が最も反応する要素</t>
        </is>
      </c>
    </row>
    <row r="4">
      <c r="A4" s="4" t="inlineStr">
        <is>
          <t>需要カテゴリ</t>
        </is>
      </c>
      <c r="B4" s="4" t="inlineStr">
        <is>
          <t>コメント例（実際の声）</t>
        </is>
      </c>
      <c r="C4" s="4" t="inlineStr">
        <is>
          <t>いいね数傾向</t>
        </is>
      </c>
      <c r="D4" s="4" t="inlineStr">
        <is>
          <t>視聴者心理</t>
        </is>
      </c>
      <c r="E4" s="4" t="inlineStr">
        <is>
          <t>動画構成への反映方法</t>
        </is>
      </c>
      <c r="F4" s="4" t="inlineStr">
        <is>
          <t>優先度</t>
        </is>
      </c>
    </row>
    <row r="5">
      <c r="A5" s="5" t="inlineStr">
        <is>
          <t>①老後・バリアフリー需要</t>
        </is>
      </c>
      <c r="B5" s="5" t="inlineStr">
        <is>
          <t>「高齢になると階段生活は大変です」「年を取ると二階に上がることも面倒」</t>
        </is>
      </c>
      <c r="C5" s="5" t="inlineStr">
        <is>
          <t>高（17-29いいね）</t>
        </is>
      </c>
      <c r="D5" s="5" t="inlineStr">
        <is>
          <t>55-64歳が35.3%。自分の将来を重ねて見ている。「安心」「楽」が刺さる</t>
        </is>
      </c>
      <c r="E5" s="5" t="inlineStr">
        <is>
          <t>動画冒頭で「老後も安心のポイント」に触れる。段差なし・広い廊下・手すり設置を明示的に紹介</t>
        </is>
      </c>
      <c r="F5" s="26" t="inlineStr">
        <is>
          <t>最重要</t>
        </is>
      </c>
    </row>
    <row r="6">
      <c r="A6" s="5" t="inlineStr">
        <is>
          <t>②コンパクト・掃除のしやすさ</t>
        </is>
      </c>
      <c r="B6" s="5" t="inlineStr">
        <is>
          <t>「家が小さいと掃除（管理）がしやすい」「コンパクトな家いいですね」</t>
        </is>
      </c>
      <c r="C6" s="5" t="inlineStr">
        <is>
          <t>高（17いいね）</t>
        </is>
      </c>
      <c r="D6" s="5" t="inlineStr">
        <is>
          <t>管理の手間を減らしたい。大きすぎる家は不要。「ちょうどいいサイズ」への共感</t>
        </is>
      </c>
      <c r="E6" s="5" t="inlineStr">
        <is>
          <t>「○○坪でこの広さ」と具体的に伝える。掃除・管理のしやすさを言及するコーナーを設ける</t>
        </is>
      </c>
      <c r="F6" s="26" t="inlineStr">
        <is>
          <t>最重要</t>
        </is>
      </c>
    </row>
    <row r="7">
      <c r="A7" s="5" t="inlineStr">
        <is>
          <t>③キッチン・パントリー・収納</t>
        </is>
      </c>
      <c r="B7" s="5" t="inlineStr">
        <is>
          <t>「パントリーも広い」「キッチンの食器棚が引き戸。これ良い」「収納もよく考えられている」「ゴミ箱の置場所があるのもよい」</t>
        </is>
      </c>
      <c r="C7" s="5" t="inlineStr">
        <is>
          <t>高（24いいね）</t>
        </is>
      </c>
      <c r="D7" s="5" t="inlineStr">
        <is>
          <t>女性54%の視聴者が最も注目する箇所。生活の具体的な使い勝手を想像している</t>
        </is>
      </c>
      <c r="E7" s="5" t="inlineStr">
        <is>
          <t>キッチン・パントリーは必ず30秒以上紹介。引き出し・棚を開けて見せる。「ゴミ箱置場」等の細部まで触れる</t>
        </is>
      </c>
      <c r="F7" s="26" t="inlineStr">
        <is>
          <t>最重要</t>
        </is>
      </c>
    </row>
    <row r="8">
      <c r="A8" s="5" t="inlineStr">
        <is>
          <t>④価格・コスパ</t>
        </is>
      </c>
      <c r="B8" s="5" t="inlineStr">
        <is>
          <t>「平屋建てって長い目で見るとコスパ高くて1番良い」「外壁傷んでも足場かけないでやれるから100万前後安く」「価格も優しい！」</t>
        </is>
      </c>
      <c r="C8" s="5" t="inlineStr">
        <is>
          <t>中-高</t>
        </is>
      </c>
      <c r="D8" s="5" t="inlineStr">
        <is>
          <t>価格情報への飢餓感が強い。メンテナンスコストまで含めたトータルコストへの関心</t>
        </is>
      </c>
      <c r="E8" s="5" t="inlineStr">
        <is>
          <t>価格は動画内で必ず触れる。坪単価・総額に加え「メンテナンスコストが安い理由」を説明する</t>
        </is>
      </c>
      <c r="F8" s="20" t="inlineStr">
        <is>
          <t>高</t>
        </is>
      </c>
    </row>
    <row r="9">
      <c r="A9" s="5" t="inlineStr">
        <is>
          <t>⑤動線（玄関→キッチン等）</t>
        </is>
      </c>
      <c r="B9" s="5" t="inlineStr">
        <is>
          <t>「玄関からキッチンが近いのは食材など重い荷物をすぐ置ける」「キッチンのすぐ横にダイニングテーブルがないのがいい」</t>
        </is>
      </c>
      <c r="C9" s="5" t="inlineStr">
        <is>
          <t>中（8-15いいね）</t>
        </is>
      </c>
      <c r="D9" s="5" t="inlineStr">
        <is>
          <t>実際の暮らしを想像しながら見ている。「買い物帰り→荷物置き」の具体シーンが刺さる</t>
        </is>
      </c>
      <c r="E9" s="5" t="inlineStr">
        <is>
          <t>間取り紹介時に「生活動線」を意識した説明を入れる。「買い物帰りはここから→ここ」と生活シーンで語る</t>
        </is>
      </c>
      <c r="F9" s="20" t="inlineStr">
        <is>
          <t>高</t>
        </is>
      </c>
    </row>
    <row r="10">
      <c r="A10" s="5" t="inlineStr">
        <is>
          <t>⑥お風呂・水回り</t>
        </is>
      </c>
      <c r="B10" s="5" t="inlineStr">
        <is>
          <t>「お風呂が広い」「トイレいいですね」</t>
        </is>
      </c>
      <c r="C10" s="5" t="inlineStr">
        <is>
          <t>中（3-24いいね）</t>
        </is>
      </c>
      <c r="D10" s="5" t="inlineStr">
        <is>
          <t>水回りの快適さは毎日の生活品質に直結。特にシニア層は広い浴室を重視</t>
        </is>
      </c>
      <c r="E10" s="5" t="inlineStr">
        <is>
          <t>お風呂は広さ・メーカー・サイズを明示。ユニットバスのグレードを説明</t>
        </is>
      </c>
      <c r="F10" s="5" t="inlineStr">
        <is>
          <t>中</t>
        </is>
      </c>
    </row>
    <row r="11">
      <c r="A11" s="5" t="inlineStr">
        <is>
          <t>⑦採光・明るさ</t>
        </is>
      </c>
      <c r="B11" s="5" t="inlineStr">
        <is>
          <t>「最高な採光が最高でした」「採光がたっぷりで白が基調でかなり好み」</t>
        </is>
      </c>
      <c r="C11" s="5" t="inlineStr">
        <is>
          <t>中</t>
        </is>
      </c>
      <c r="D11" s="5" t="inlineStr">
        <is>
          <t>明るい家＝幸せな暮らしのイメージ。写真映えにも直結</t>
        </is>
      </c>
      <c r="E11" s="5" t="inlineStr">
        <is>
          <t>撮影時に自然光を活かす。「この窓からこう光が入る」と採光設計を説明</t>
        </is>
      </c>
      <c r="F11" s="5" t="inlineStr">
        <is>
          <t>中</t>
        </is>
      </c>
    </row>
    <row r="12">
      <c r="A12" s="5" t="inlineStr">
        <is>
          <t>⑧女性設計士・女性目線</t>
        </is>
      </c>
      <c r="B12" s="5" t="inlineStr">
        <is>
          <t>「女性設計士さん営業さんは男性多い業界で貴重」「男の私でも好感度高い」</t>
        </is>
      </c>
      <c r="C12" s="5" t="inlineStr">
        <is>
          <t>高（29いいね）</t>
        </is>
      </c>
      <c r="D12" s="5" t="inlineStr">
        <is>
          <t>女性目線の設計への信頼感。男性視聴者も女性目線の家を肯定的に評価</t>
        </is>
      </c>
      <c r="E12" s="5" t="inlineStr">
        <is>
          <t>設計者が女性の場合は動画内で紹介。「女性目線のこだわり」をテーマに</t>
        </is>
      </c>
      <c r="F12" s="5" t="inlineStr">
        <is>
          <t>中</t>
        </is>
      </c>
    </row>
    <row r="13">
      <c r="A13" s="5" t="inlineStr">
        <is>
          <t>⑨説明のおもしろさ・ナレーション</t>
        </is>
      </c>
      <c r="B13" s="5" t="inlineStr">
        <is>
          <t>「部屋の中の説明の言葉が面白くって笑ってしまう」「楽しかったやないかい」「おもしろかったです」</t>
        </is>
      </c>
      <c r="C13" s="5" t="inlineStr">
        <is>
          <t>高（7-22いいね）</t>
        </is>
      </c>
      <c r="D13" s="5" t="inlineStr">
        <is>
          <t>エンタメ性が視聴維持率を上げる。「楽しい」と感じるとチャンネル登録率UP</t>
        </is>
      </c>
      <c r="E13" s="5" t="inlineStr">
        <is>
          <t>ナレーションにユーモアを入れる。固い専門用語だけでなく、感情的な表現を交える</t>
        </is>
      </c>
      <c r="F13" s="20" t="inlineStr">
        <is>
          <t>高</t>
        </is>
      </c>
    </row>
    <row r="14">
      <c r="A14" s="5" t="inlineStr">
        <is>
          <t>⑩2人暮らし・おひとり様需要</t>
        </is>
      </c>
      <c r="B14" s="5" t="inlineStr">
        <is>
          <t>「2人暮らしならこの広さ充分」「おひとり様の理想を叶えた」</t>
        </is>
      </c>
      <c r="C14" s="5" t="inlineStr">
        <is>
          <t>中（8いいね）</t>
        </is>
      </c>
      <c r="D14" s="5" t="inlineStr">
        <is>
          <t>シニア夫婦・おひとり様需要が拡大。コンパクト平屋の需要と一致</t>
        </is>
      </c>
      <c r="E14" s="5" t="inlineStr">
        <is>
          <t>「夫婦2人暮らし」「おひとり様向け」を明示的にタイトルやテーマに含める</t>
        </is>
      </c>
      <c r="F14" s="20" t="inlineStr">
        <is>
          <t>高</t>
        </is>
      </c>
    </row>
    <row r="15">
      <c r="A15" s="5" t="inlineStr">
        <is>
          <t>⑪地方在住者の共感</t>
        </is>
      </c>
      <c r="B15" s="5" t="inlineStr">
        <is>
          <t>「大阪は30坪で広い」「愛知県でも依頼できるのかな？」</t>
        </is>
      </c>
      <c r="C15" s="5" t="inlineStr">
        <is>
          <t>中</t>
        </is>
      </c>
      <c r="D15" s="5" t="inlineStr">
        <is>
          <t>他地域の視聴者も多く、自分の地域との比較で見ている。依頼可能エリアへの関心</t>
        </is>
      </c>
      <c r="E15" s="5" t="inlineStr">
        <is>
          <t>動画の概要欄に対応エリア情報を記載。「この工務店は○○エリア対応」と明示</t>
        </is>
      </c>
      <c r="F15" s="5" t="inlineStr">
        <is>
          <t>低</t>
        </is>
      </c>
    </row>
    <row r="17">
      <c r="A17" s="9" t="inlineStr">
        <is>
          <t>動画トンマナガイドライン — コメント需要を反映した構成ルール</t>
        </is>
      </c>
    </row>
    <row r="18">
      <c r="A18" s="4" t="inlineStr">
        <is>
          <t>項目</t>
        </is>
      </c>
      <c r="B18" s="4" t="inlineStr">
        <is>
          <t>推奨ルール</t>
        </is>
      </c>
      <c r="C18" s="4" t="inlineStr">
        <is>
          <t>理由（コメント根拠）</t>
        </is>
      </c>
      <c r="D18" s="4" t="inlineStr">
        <is>
          <t>具体例</t>
        </is>
      </c>
    </row>
    <row r="19">
      <c r="A19" s="5" t="inlineStr">
        <is>
          <t>オープニング（0-30秒）</t>
        </is>
      </c>
      <c r="B19" s="5" t="inlineStr">
        <is>
          <t>家の外観＋「この家のすごいところは○○」と1つだけフック</t>
        </is>
      </c>
      <c r="C19" s="5" t="inlineStr">
        <is>
          <t>視聴者は最初の30秒で離脱判断する。コメントで「かわいい」「すごい」が多い動画ほど再生数が高い</t>
        </is>
      </c>
      <c r="D19" s="5" t="inlineStr">
        <is>
          <t>「今回の平屋は25坪でめちゃくちゃかわいい家です。しかも価格が驚き…」</t>
        </is>
      </c>
    </row>
    <row r="20">
      <c r="A20" s="5" t="inlineStr">
        <is>
          <t>価格紹介（1-2分目）</t>
        </is>
      </c>
      <c r="B20" s="5" t="inlineStr">
        <is>
          <t>総額・坪単価・メンテナンスコストのメリットを必ず触れる</t>
        </is>
      </c>
      <c r="C20" s="5" t="inlineStr">
        <is>
          <t>「コスパ高い」「価格も優しい」等のコメントが多い。価格情報への需要が極めて高い</t>
        </is>
      </c>
      <c r="D20" s="5" t="inlineStr">
        <is>
          <t>「総額1,980万円、坪単価63万円。平屋はメンテナンスで100万円以上安くなります」</t>
        </is>
      </c>
    </row>
    <row r="21">
      <c r="A21" s="5" t="inlineStr">
        <is>
          <t>キッチン紹介（3-5分目）</t>
        </is>
      </c>
      <c r="B21" s="5" t="inlineStr">
        <is>
          <t>最低30秒以上。引き出し・パントリー・ゴミ箱置場まで見せる</t>
        </is>
      </c>
      <c r="C21" s="5" t="inlineStr">
        <is>
          <t>「パントリーも広い」「食器棚が引き戸」「ゴミ箱の置場所がある」等のコメントが最多いいね</t>
        </is>
      </c>
      <c r="D21" s="5" t="inlineStr">
        <is>
          <t>引き出しを実際に開ける/パントリーの中を見せる/「ここにゴミ箱が置けます」と指差し</t>
        </is>
      </c>
    </row>
    <row r="22">
      <c r="A22" s="5" t="inlineStr">
        <is>
          <t>動線説明</t>
        </is>
      </c>
      <c r="B22" s="5" t="inlineStr">
        <is>
          <t>生活シーンで語る（買い物帰り→荷物→キッチンの流れ）</t>
        </is>
      </c>
      <c r="C22" s="5" t="inlineStr">
        <is>
          <t>「玄関からキッチンが近いのは荷物をすぐ置ける」等、生活シーンベースのコメントが共感を得ている</t>
        </is>
      </c>
      <c r="D22" s="5" t="inlineStr">
        <is>
          <t>「買い物から帰ってきて、ここで靴を脱いで、3歩でキッチンです」</t>
        </is>
      </c>
    </row>
    <row r="23">
      <c r="A23" s="5" t="inlineStr">
        <is>
          <t>収納紹介</t>
        </is>
      </c>
      <c r="B23" s="5" t="inlineStr">
        <is>
          <t>必ず扉を開けて中を見せる。具体的なサイズ感を伝える</t>
        </is>
      </c>
      <c r="C23" s="5" t="inlineStr">
        <is>
          <t>「収納もよく考えられている」というコメントが多い。見えない部分への関心が高い</t>
        </is>
      </c>
      <c r="D23" s="5" t="inlineStr">
        <is>
          <t>クローゼットを開けて「ここに布団が入ります」「奥行き80cmなので衣装ケースが入ります」</t>
        </is>
      </c>
    </row>
    <row r="24">
      <c r="A24" s="5" t="inlineStr">
        <is>
          <t>バリアフリー言及</t>
        </is>
      </c>
      <c r="B24" s="5" t="inlineStr">
        <is>
          <t>段差なし・広い廊下・手すり対応を明示的に紹介</t>
        </is>
      </c>
      <c r="C24" s="5" t="inlineStr">
        <is>
          <t>最多視聴層が55-64歳。「高齢になると階段が大変」等のコメントが高いいね</t>
        </is>
      </c>
      <c r="D24" s="5" t="inlineStr">
        <is>
          <t>「ここは段差がゼロです」「廊下幅は車椅子も通れる90cm」</t>
        </is>
      </c>
    </row>
    <row r="25">
      <c r="A25" s="5" t="inlineStr">
        <is>
          <t>ナレーションのトーン</t>
        </is>
      </c>
      <c r="B25" s="5" t="inlineStr">
        <is>
          <t>専門的だが親しみやすく。ユーモアを交える。感情的な表現を入れる</t>
        </is>
      </c>
      <c r="C25" s="5" t="inlineStr">
        <is>
          <t>「説明が面白くて笑ってしまう」「楽しかった」のコメントが多い。エンタメ性が視聴維持率を上げる</t>
        </is>
      </c>
      <c r="D25" s="5" t="inlineStr">
        <is>
          <t>「このキッチン、ちょっとヤバいです…（笑）」「ここ、僕が一番好きなポイントです」</t>
        </is>
      </c>
    </row>
    <row r="26">
      <c r="A26" s="5" t="inlineStr">
        <is>
          <t>エンディング（最後1分）</t>
        </is>
      </c>
      <c r="B26" s="5" t="inlineStr">
        <is>
          <t>Webサイト誘導＋LINE誘導＋次回予告</t>
        </is>
      </c>
      <c r="C26" s="5" t="inlineStr">
        <is>
          <t>「依頼できるのかな？」等のコメントがある。視聴後のアクション導線が不足</t>
        </is>
      </c>
      <c r="D26" s="5" t="inlineStr">
        <is>
          <t>「この工務店の詳しい情報はぺいほーむのサイトで。概要欄にリンクがあります」</t>
        </is>
      </c>
    </row>
    <row r="27">
      <c r="A27" s="5" t="inlineStr">
        <is>
          <t>サムネイル</t>
        </is>
      </c>
      <c r="B27" s="5" t="inlineStr">
        <is>
          <t>外観全体＋大きなテキスト（3-5文字）＋価格or坪数</t>
        </is>
      </c>
      <c r="C27" s="5" t="inlineStr">
        <is>
          <t>モバイル49.4%。小さい画面でも読めるサイズが必要</t>
        </is>
      </c>
      <c r="D27" s="5" t="inlineStr">
        <is>
          <t>外観写真＋「25坪の平屋」or「1,980万円」＋かわいいフォント</t>
        </is>
      </c>
    </row>
    <row r="28">
      <c r="A28" s="5" t="inlineStr">
        <is>
          <t>動画の長さ</t>
        </is>
      </c>
      <c r="B28" s="5" t="inlineStr">
        <is>
          <t>10-15分が最適。8分以下だと短すぎ、20分超えると離脱増</t>
        </is>
      </c>
      <c r="C28" s="5" t="inlineStr">
        <is>
          <t>現在の平均18分はやや長め。「2倍速で見てます」というコメントもある</t>
        </is>
      </c>
      <c r="D28" s="5" t="inlineStr">
        <is>
          <t>12-15分を目標。テンポよく進める。間延びする部分はカット</t>
        </is>
      </c>
    </row>
    <row r="30">
      <c r="A30" s="9" t="inlineStr">
        <is>
          <t>動画で必ず触れるべき項目チェックリスト</t>
        </is>
      </c>
    </row>
    <row r="31">
      <c r="A31" s="4" t="inlineStr">
        <is>
          <t>チェック項目</t>
        </is>
      </c>
      <c r="B31" s="4" t="inlineStr">
        <is>
          <t>理由</t>
        </is>
      </c>
      <c r="C31" s="4" t="inlineStr">
        <is>
          <t>目安時間</t>
        </is>
      </c>
      <c r="D31" s="4" t="inlineStr">
        <is>
          <t>動画内の位置</t>
        </is>
      </c>
    </row>
    <row r="32">
      <c r="A32" s="5" t="inlineStr">
        <is>
          <t>□ 外観全体ショット</t>
        </is>
      </c>
      <c r="B32" s="5" t="inlineStr">
        <is>
          <t>サムネイルにも使える。第一印象を決定</t>
        </is>
      </c>
      <c r="C32" s="5" t="inlineStr">
        <is>
          <t>10秒</t>
        </is>
      </c>
      <c r="D32" s="5" t="inlineStr">
        <is>
          <t>オープニング</t>
        </is>
      </c>
    </row>
    <row r="33">
      <c r="A33" s="5" t="inlineStr">
        <is>
          <t>□ 総額・坪単価</t>
        </is>
      </c>
      <c r="B33" s="5" t="inlineStr">
        <is>
          <t>価格情報への需要が極めて高い</t>
        </is>
      </c>
      <c r="C33" s="5" t="inlineStr">
        <is>
          <t>30秒</t>
        </is>
      </c>
      <c r="D33" s="5" t="inlineStr">
        <is>
          <t>序盤1-2分</t>
        </is>
      </c>
    </row>
    <row r="34">
      <c r="A34" s="5" t="inlineStr">
        <is>
          <t>□ 間取り図（テロップ）</t>
        </is>
      </c>
      <c r="B34" s="5" t="inlineStr">
        <is>
          <t>全体像の把握。スマホ視聴者は図がないと分かりにくい</t>
        </is>
      </c>
      <c r="C34" s="5" t="inlineStr">
        <is>
          <t>15秒</t>
        </is>
      </c>
      <c r="D34" s="5" t="inlineStr">
        <is>
          <t>序盤</t>
        </is>
      </c>
    </row>
    <row r="35">
      <c r="A35" s="5" t="inlineStr">
        <is>
          <t>□ 玄関→キッチンの動線</t>
        </is>
      </c>
      <c r="B35" s="5" t="inlineStr">
        <is>
          <t>生活シーンで最もコメントが多い動線</t>
        </is>
      </c>
      <c r="C35" s="5" t="inlineStr">
        <is>
          <t>30秒</t>
        </is>
      </c>
      <c r="D35" s="5" t="inlineStr">
        <is>
          <t>中盤</t>
        </is>
      </c>
    </row>
    <row r="36">
      <c r="A36" s="5" t="inlineStr">
        <is>
          <t>□ キッチン詳細（引き出し・パントリー開ける）</t>
        </is>
      </c>
      <c r="B36" s="5" t="inlineStr">
        <is>
          <t>コメント最多カテゴリ。必ず実演で見せる</t>
        </is>
      </c>
      <c r="C36" s="5" t="inlineStr">
        <is>
          <t>60秒</t>
        </is>
      </c>
      <c r="D36" s="5" t="inlineStr">
        <is>
          <t>中盤</t>
        </is>
      </c>
    </row>
    <row r="37">
      <c r="A37" s="5" t="inlineStr">
        <is>
          <t>□ 収納を開けて見せる</t>
        </is>
      </c>
      <c r="B37" s="5" t="inlineStr">
        <is>
          <t>見えない部分への関心が高い</t>
        </is>
      </c>
      <c r="C37" s="5" t="inlineStr">
        <is>
          <t>30秒</t>
        </is>
      </c>
      <c r="D37" s="5" t="inlineStr">
        <is>
          <t>中盤</t>
        </is>
      </c>
    </row>
    <row r="38">
      <c r="A38" s="5" t="inlineStr">
        <is>
          <t>□ お風呂・トイレ（メーカー・サイズ明示）</t>
        </is>
      </c>
      <c r="B38" s="5" t="inlineStr">
        <is>
          <t>水回りへの関心は常に高い</t>
        </is>
      </c>
      <c r="C38" s="5" t="inlineStr">
        <is>
          <t>30秒</t>
        </is>
      </c>
      <c r="D38" s="5" t="inlineStr">
        <is>
          <t>中盤</t>
        </is>
      </c>
    </row>
    <row r="39">
      <c r="A39" s="5" t="inlineStr">
        <is>
          <t>□ バリアフリー要素（段差なし・手すり等）</t>
        </is>
      </c>
      <c r="B39" s="5" t="inlineStr">
        <is>
          <t>最多視聴者層（55-64歳）の最大関心事</t>
        </is>
      </c>
      <c r="C39" s="5" t="inlineStr">
        <is>
          <t>20秒</t>
        </is>
      </c>
      <c r="D39" s="5" t="inlineStr">
        <is>
          <t>随所</t>
        </is>
      </c>
    </row>
    <row r="40">
      <c r="A40" s="5" t="inlineStr">
        <is>
          <t>□ 採光・窓からの景色</t>
        </is>
      </c>
      <c r="B40" s="5" t="inlineStr">
        <is>
          <t>「明るい家」への共感が多い</t>
        </is>
      </c>
      <c r="C40" s="5" t="inlineStr">
        <is>
          <t>15秒</t>
        </is>
      </c>
      <c r="D40" s="5" t="inlineStr">
        <is>
          <t>随所</t>
        </is>
      </c>
    </row>
    <row r="41">
      <c r="A41" s="5" t="inlineStr">
        <is>
          <t>□ メンテナンスコストの優位性</t>
        </is>
      </c>
      <c r="B41" s="5" t="inlineStr">
        <is>
          <t>「コスパ高い」コメントの根拠を提供</t>
        </is>
      </c>
      <c r="C41" s="5" t="inlineStr">
        <is>
          <t>20秒</t>
        </is>
      </c>
      <c r="D41" s="5" t="inlineStr">
        <is>
          <t>終盤</t>
        </is>
      </c>
    </row>
    <row r="42">
      <c r="A42" s="5" t="inlineStr">
        <is>
          <t>□ 工務店情報＋対応エリア</t>
        </is>
      </c>
      <c r="B42" s="5" t="inlineStr">
        <is>
          <t>「依頼できるか？」の声に応える</t>
        </is>
      </c>
      <c r="C42" s="5" t="inlineStr">
        <is>
          <t>15秒</t>
        </is>
      </c>
      <c r="D42" s="5" t="inlineStr">
        <is>
          <t>終盤</t>
        </is>
      </c>
    </row>
    <row r="43">
      <c r="A43" s="5" t="inlineStr">
        <is>
          <t>□ Webサイト・LINE誘導</t>
        </is>
      </c>
      <c r="B43" s="5" t="inlineStr">
        <is>
          <t>視聴後のアクション導線</t>
        </is>
      </c>
      <c r="C43" s="5" t="inlineStr">
        <is>
          <t>10秒</t>
        </is>
      </c>
      <c r="D43" s="5" t="inlineStr">
        <is>
          <t>エンディング</t>
        </is>
      </c>
    </row>
  </sheetData>
  <mergeCells count="4">
    <mergeCell ref="A3:H3"/>
    <mergeCell ref="A30:H30"/>
    <mergeCell ref="A17:H17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0000"/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40" customWidth="1" min="4" max="4"/>
    <col width="30" customWidth="1" min="5" max="5"/>
    <col width="16" customWidth="1" min="6" max="6"/>
  </cols>
  <sheetData>
    <row r="1">
      <c r="A1" s="1" t="inlineStr">
        <is>
          <t>ルームツアー動画 選定・企画マニュアル</t>
        </is>
      </c>
    </row>
    <row r="3">
      <c r="A3" s="9" t="inlineStr">
        <is>
          <t>STEP 1: 撮影する家の選定基準（スコアリング方式）</t>
        </is>
      </c>
    </row>
    <row r="4">
      <c r="A4" s="4" t="inlineStr">
        <is>
          <t>選定基準</t>
        </is>
      </c>
      <c r="B4" s="4" t="inlineStr">
        <is>
          <t>配点</t>
        </is>
      </c>
      <c r="C4" s="4" t="inlineStr">
        <is>
          <t>5点（最高）</t>
        </is>
      </c>
      <c r="D4" s="4" t="inlineStr">
        <is>
          <t>3点（中）</t>
        </is>
      </c>
      <c r="E4" s="4" t="inlineStr">
        <is>
          <t>1点（低）</t>
        </is>
      </c>
      <c r="F4" s="4" t="inlineStr">
        <is>
          <t>判定メモ欄</t>
        </is>
      </c>
    </row>
    <row r="5">
      <c r="A5" s="5" t="inlineStr">
        <is>
          <t>外観の「かわいさ」「おしゃれさ」</t>
        </is>
      </c>
      <c r="B5" s="5" t="inlineStr">
        <is>
          <t>20点</t>
        </is>
      </c>
      <c r="C5" s="5" t="inlineStr">
        <is>
          <t>一目で「かわいい！」と言える。写真映え◎</t>
        </is>
      </c>
      <c r="D5" s="5" t="inlineStr">
        <is>
          <t>普通に綺麗。特徴的ではない</t>
        </is>
      </c>
      <c r="E5" s="5" t="inlineStr">
        <is>
          <t>外観に特徴がない/古い印象</t>
        </is>
      </c>
      <c r="F5" s="5" t="inlineStr"/>
    </row>
    <row r="6">
      <c r="A6" s="5" t="inlineStr">
        <is>
          <t>視聴者層へのフィット（55-64歳）</t>
        </is>
      </c>
      <c r="B6" s="5" t="inlineStr">
        <is>
          <t>20点</t>
        </is>
      </c>
      <c r="C6" s="5" t="inlineStr">
        <is>
          <t>老後安心/バリアフリー/コンパクトの要素が複数ある</t>
        </is>
      </c>
      <c r="D6" s="5" t="inlineStr">
        <is>
          <t>要素が1つある</t>
        </is>
      </c>
      <c r="E6" s="5" t="inlineStr">
        <is>
          <t>若者向け/ファミリー向けのみ</t>
        </is>
      </c>
      <c r="F6" s="5" t="inlineStr"/>
    </row>
    <row r="7">
      <c r="A7" s="5" t="inlineStr">
        <is>
          <t>タイトルの感情フック</t>
        </is>
      </c>
      <c r="B7" s="5" t="inlineStr">
        <is>
          <t>15点</t>
        </is>
      </c>
      <c r="C7" s="5" t="inlineStr">
        <is>
          <t>「嘘だろ」「天才的」「かわいすぎる」等が自然に出る</t>
        </is>
      </c>
      <c r="D7" s="5" t="inlineStr">
        <is>
          <t>特徴はあるが驚きが弱い</t>
        </is>
      </c>
      <c r="E7" s="5" t="inlineStr">
        <is>
          <t>タイトルに困る。特徴が言えない</t>
        </is>
      </c>
      <c r="F7" s="5" t="inlineStr"/>
    </row>
    <row r="8">
      <c r="A8" s="5" t="inlineStr">
        <is>
          <t>価格帯（1,500-3,000万）</t>
        </is>
      </c>
      <c r="B8" s="5" t="inlineStr">
        <is>
          <t>15点</t>
        </is>
      </c>
      <c r="C8" s="5" t="inlineStr">
        <is>
          <t>1,500-2,500万円（最適レンジ）</t>
        </is>
      </c>
      <c r="D8" s="5" t="inlineStr">
        <is>
          <t>2,500-3,500万円</t>
        </is>
      </c>
      <c r="E8" s="5" t="inlineStr">
        <is>
          <t>3,500万円超 or 1,500万円未満</t>
        </is>
      </c>
      <c r="F8" s="5" t="inlineStr"/>
    </row>
    <row r="9">
      <c r="A9" s="5" t="inlineStr">
        <is>
          <t>坪数（20-32坪）</t>
        </is>
      </c>
      <c r="B9" s="5" t="inlineStr">
        <is>
          <t>10点</t>
        </is>
      </c>
      <c r="C9" s="5" t="inlineStr">
        <is>
          <t>20-28坪（コンパクト系）</t>
        </is>
      </c>
      <c r="D9" s="5" t="inlineStr">
        <is>
          <t>28-35坪</t>
        </is>
      </c>
      <c r="E9" s="5" t="inlineStr">
        <is>
          <t>35坪超</t>
        </is>
      </c>
      <c r="F9" s="5" t="inlineStr"/>
    </row>
    <row r="10">
      <c r="A10" s="5" t="inlineStr">
        <is>
          <t>キッチン・収納の特徴</t>
        </is>
      </c>
      <c r="B10" s="5" t="inlineStr">
        <is>
          <t>10点</t>
        </is>
      </c>
      <c r="C10" s="5" t="inlineStr">
        <is>
          <t>パントリー/アイランドキッチン/特徴的な収納あり</t>
        </is>
      </c>
      <c r="D10" s="5" t="inlineStr">
        <is>
          <t>標準的なキッチン</t>
        </is>
      </c>
      <c r="E10" s="5" t="inlineStr">
        <is>
          <t>特筆すべき点なし</t>
        </is>
      </c>
      <c r="F10" s="5" t="inlineStr"/>
    </row>
    <row r="11">
      <c r="A11" s="5" t="inlineStr">
        <is>
          <t>間取りの語れるポイント</t>
        </is>
      </c>
      <c r="B11" s="5" t="inlineStr">
        <is>
          <t>5点</t>
        </is>
      </c>
      <c r="C11" s="5" t="inlineStr">
        <is>
          <t>回遊動線/中庭/家事動線等が複数ある</t>
        </is>
      </c>
      <c r="D11" s="5" t="inlineStr">
        <is>
          <t>1つある</t>
        </is>
      </c>
      <c r="E11" s="5" t="inlineStr">
        <is>
          <t>特になし</t>
        </is>
      </c>
      <c r="F11" s="5" t="inlineStr"/>
    </row>
    <row r="12">
      <c r="A12" s="5" t="inlineStr">
        <is>
          <t>工務店との関係・撮影しやすさ</t>
        </is>
      </c>
      <c r="B12" s="5" t="inlineStr">
        <is>
          <t>5点</t>
        </is>
      </c>
      <c r="C12" s="5" t="inlineStr">
        <is>
          <t>既存パートナー/取材歓迎</t>
        </is>
      </c>
      <c r="D12" s="5" t="inlineStr">
        <is>
          <t>要交渉</t>
        </is>
      </c>
      <c r="E12" s="5" t="inlineStr">
        <is>
          <t>初回接触/ハードル高</t>
        </is>
      </c>
      <c r="F12" s="5" t="inlineStr"/>
    </row>
    <row r="14">
      <c r="A14" s="27" t="inlineStr">
        <is>
          <t>合計スコア判定基準</t>
        </is>
      </c>
    </row>
    <row r="15">
      <c r="A15" s="28" t="inlineStr">
        <is>
          <t>80-100点</t>
        </is>
      </c>
      <c r="B15" s="21" t="inlineStr">
        <is>
          <t>即撮影。最優先で企画する</t>
        </is>
      </c>
    </row>
    <row r="16">
      <c r="A16" s="29" t="inlineStr">
        <is>
          <t>60-79点</t>
        </is>
      </c>
      <c r="B16" s="21" t="inlineStr">
        <is>
          <t>撮影推奨。タイトルの工夫で伸びる可能性あり</t>
        </is>
      </c>
    </row>
    <row r="17">
      <c r="A17" s="30" t="inlineStr">
        <is>
          <t>40-59点</t>
        </is>
      </c>
      <c r="B17" s="21" t="inlineStr">
        <is>
          <t>保留。他に候補がなければ撮影</t>
        </is>
      </c>
    </row>
    <row r="18">
      <c r="A18" s="31" t="inlineStr">
        <is>
          <t>39点以下</t>
        </is>
      </c>
      <c r="B18" s="21" t="inlineStr">
        <is>
          <t>見送り。視聴者ニーズとの乖離が大きい</t>
        </is>
      </c>
    </row>
    <row r="20">
      <c r="A20" s="9" t="inlineStr">
        <is>
          <t>STEP 2: タイトル作成の公式</t>
        </is>
      </c>
    </row>
    <row r="21">
      <c r="A21" s="4" t="inlineStr">
        <is>
          <t>公式パターン</t>
        </is>
      </c>
      <c r="B21" s="4" t="inlineStr">
        <is>
          <t>構造</t>
        </is>
      </c>
      <c r="C21" s="4" t="inlineStr">
        <is>
          <t>実績タイトル例</t>
        </is>
      </c>
      <c r="D21" s="4" t="inlineStr">
        <is>
          <t>再生数</t>
        </is>
      </c>
    </row>
    <row r="22">
      <c r="A22" s="5" t="inlineStr">
        <is>
          <t>感情形容詞 + サイズ + 平屋</t>
        </is>
      </c>
      <c r="B22" s="5" t="inlineStr">
        <is>
          <t>「○○な」＋「小さな/コンパクトな」＋「平屋」</t>
        </is>
      </c>
      <c r="C22" s="5" t="inlineStr">
        <is>
          <t>小さなかわいい平屋</t>
        </is>
      </c>
      <c r="D22" s="5" t="inlineStr">
        <is>
          <t>99万</t>
        </is>
      </c>
    </row>
    <row r="23">
      <c r="A23" s="5" t="inlineStr">
        <is>
          <t>ターゲット明示 + 安心/理想 + 平屋</t>
        </is>
      </c>
      <c r="B23" s="5" t="inlineStr">
        <is>
          <t>「○○向け/○○のための」＋「安心/理想」＋「平屋」</t>
        </is>
      </c>
      <c r="C23" s="5" t="inlineStr">
        <is>
          <t>老後も安心して過ごせる最先端の平屋</t>
        </is>
      </c>
      <c r="D23" s="5" t="inlineStr">
        <is>
          <t>91万</t>
        </is>
      </c>
    </row>
    <row r="24">
      <c r="A24" s="5" t="inlineStr">
        <is>
          <t>完璧/究極 + 特徴 + 平屋</t>
        </is>
      </c>
      <c r="B24" s="5" t="inlineStr">
        <is>
          <t>「完璧な/究極の」＋「間取り/デザイン」＋「平屋」</t>
        </is>
      </c>
      <c r="C24" s="5" t="inlineStr">
        <is>
          <t>完璧な間取りのお洒落で超かわいい平屋</t>
        </is>
      </c>
      <c r="D24" s="5" t="inlineStr">
        <is>
          <t>78万</t>
        </is>
      </c>
    </row>
    <row r="25">
      <c r="A25" s="5" t="inlineStr">
        <is>
          <t>驚き表現 + 常識を覆す + 平屋</t>
        </is>
      </c>
      <c r="B25" s="5" t="inlineStr">
        <is>
          <t>「嘘だろ/えっ/ヤバすぎ」＋「これが平屋？」</t>
        </is>
      </c>
      <c r="C25" s="5" t="inlineStr">
        <is>
          <t>嘘だろ...これが平屋はヤバすぎる！</t>
        </is>
      </c>
      <c r="D25" s="5" t="inlineStr">
        <is>
          <t>47万</t>
        </is>
      </c>
    </row>
    <row r="26">
      <c r="A26" s="5" t="inlineStr">
        <is>
          <t>価格公開 + サイズ + 特徴 + 平屋</t>
        </is>
      </c>
      <c r="B26" s="5" t="inlineStr">
        <is>
          <t>「お値段大公開」＋「○○坪」＋「高性能/かわいい」</t>
        </is>
      </c>
      <c r="C26" s="5" t="inlineStr">
        <is>
          <t>お値段大公開！！20坪の小さな高性能平屋</t>
        </is>
      </c>
      <c r="D26" s="5" t="inlineStr">
        <is>
          <t>59万</t>
        </is>
      </c>
    </row>
    <row r="27">
      <c r="A27" s="5" t="inlineStr">
        <is>
          <t>ターゲット + 特徴 + 平屋</t>
        </is>
      </c>
      <c r="B27" s="5" t="inlineStr">
        <is>
          <t>「女性/夫婦/おひとり様」＋「似合う/理想」＋「平屋」</t>
        </is>
      </c>
      <c r="C27" s="5" t="inlineStr">
        <is>
          <t>完全に大人の女性に似合う平屋！</t>
        </is>
      </c>
      <c r="D27" s="5" t="inlineStr">
        <is>
          <t>50万</t>
        </is>
      </c>
    </row>
    <row r="29">
      <c r="A29" s="9" t="inlineStr">
        <is>
          <t>STEP 3: 撮影当日チェックリスト</t>
        </is>
      </c>
    </row>
    <row r="30">
      <c r="A30" s="4" t="inlineStr">
        <is>
          <t>フェーズ</t>
        </is>
      </c>
      <c r="B30" s="4" t="inlineStr">
        <is>
          <t>チェック項目</t>
        </is>
      </c>
      <c r="C30" s="4" t="inlineStr">
        <is>
          <t>備考</t>
        </is>
      </c>
    </row>
    <row r="31">
      <c r="A31" s="5" t="inlineStr">
        <is>
          <t>撮影前</t>
        </is>
      </c>
      <c r="B31" s="5" t="inlineStr">
        <is>
          <t>□ 外観3方向から撮影（正面・斜め・引き）</t>
        </is>
      </c>
      <c r="C31" s="5" t="inlineStr">
        <is>
          <t>サムネイル候補を複数確保</t>
        </is>
      </c>
    </row>
    <row r="32">
      <c r="A32" s="5" t="inlineStr"/>
      <c r="B32" s="5" t="inlineStr">
        <is>
          <t>□ 間取り図を入手/撮影</t>
        </is>
      </c>
      <c r="C32" s="5" t="inlineStr">
        <is>
          <t>テロップ用</t>
        </is>
      </c>
    </row>
    <row r="33">
      <c r="A33" s="5" t="inlineStr"/>
      <c r="B33" s="5" t="inlineStr">
        <is>
          <t>□ 工務店の担当者に確認：価格・坪数・性能値</t>
        </is>
      </c>
      <c r="C33" s="5" t="inlineStr">
        <is>
          <t>動画内で正確に伝えるため</t>
        </is>
      </c>
    </row>
    <row r="34">
      <c r="A34" s="5" t="inlineStr"/>
      <c r="B34" s="5" t="inlineStr">
        <is>
          <t>□ 天気・時間帯確認（自然光が入る時間帯に撮影）</t>
        </is>
      </c>
      <c r="C34" s="5" t="inlineStr">
        <is>
          <t>採光が動画の印象を大きく左右する</t>
        </is>
      </c>
    </row>
    <row r="35">
      <c r="A35" s="5" t="inlineStr">
        <is>
          <t>撮影中</t>
        </is>
      </c>
      <c r="B35" s="5" t="inlineStr">
        <is>
          <t>□ 玄関から入って生活動線に沿って撮影</t>
        </is>
      </c>
      <c r="C35" s="5" t="inlineStr">
        <is>
          <t>視聴者が「住んでいる感覚」を得られるように</t>
        </is>
      </c>
    </row>
    <row r="36">
      <c r="A36" s="5" t="inlineStr"/>
      <c r="B36" s="5" t="inlineStr">
        <is>
          <t>□ キッチン：引き出し・パントリー・ゴミ箱置場を開けて撮影</t>
        </is>
      </c>
      <c r="C36" s="5" t="inlineStr">
        <is>
          <t>コメント需要No.1</t>
        </is>
      </c>
    </row>
    <row r="37">
      <c r="A37" s="5" t="inlineStr"/>
      <c r="B37" s="5" t="inlineStr">
        <is>
          <t>□ 収納：クローゼット・押入れ・シューズクロークを開ける</t>
        </is>
      </c>
      <c r="C37" s="5" t="inlineStr">
        <is>
          <t>見えない部分への関心が高い</t>
        </is>
      </c>
    </row>
    <row r="38">
      <c r="A38" s="5" t="inlineStr"/>
      <c r="B38" s="5" t="inlineStr">
        <is>
          <t>□ お風呂：メーカー名・サイズを映す</t>
        </is>
      </c>
      <c r="C38" s="5" t="inlineStr"/>
    </row>
    <row r="39">
      <c r="A39" s="5" t="inlineStr"/>
      <c r="B39" s="5" t="inlineStr">
        <is>
          <t>□ 段差・廊下幅・手すりのバリアフリー要素を撮影</t>
        </is>
      </c>
      <c r="C39" s="5" t="inlineStr">
        <is>
          <t>最多視聴者層のニーズ</t>
        </is>
      </c>
    </row>
    <row r="40">
      <c r="A40" s="5" t="inlineStr"/>
      <c r="B40" s="5" t="inlineStr">
        <is>
          <t>□ 窓からの景色・採光を撮影</t>
        </is>
      </c>
      <c r="C40" s="5" t="inlineStr">
        <is>
          <t>「明るい家」への共感</t>
        </is>
      </c>
    </row>
    <row r="41">
      <c r="A41" s="5" t="inlineStr"/>
      <c r="B41" s="5" t="inlineStr">
        <is>
          <t>□ 外構・庭・駐車場も撮影</t>
        </is>
      </c>
      <c r="C41" s="5" t="inlineStr">
        <is>
          <t>全体像の把握</t>
        </is>
      </c>
    </row>
    <row r="42">
      <c r="A42" s="5" t="inlineStr">
        <is>
          <t>撮影後</t>
        </is>
      </c>
      <c r="B42" s="5" t="inlineStr">
        <is>
          <t>□ 工務店にサムネイル・タイトル案を確認</t>
        </is>
      </c>
      <c r="C42" s="5" t="inlineStr">
        <is>
          <t>掲載許可の確認</t>
        </is>
      </c>
    </row>
    <row r="43">
      <c r="A43" s="5" t="inlineStr"/>
      <c r="B43" s="5" t="inlineStr">
        <is>
          <t>□ 概要欄テンプレートにWebサイトURL・LINE・工務店情報を記入</t>
        </is>
      </c>
      <c r="C43" s="5" t="inlineStr">
        <is>
          <t>送客導線の確保</t>
        </is>
      </c>
    </row>
    <row r="45">
      <c r="A45" s="9" t="inlineStr">
        <is>
          <t>STEP 4: 編集・公開チェックリスト</t>
        </is>
      </c>
    </row>
    <row r="46">
      <c r="A46" s="4" t="inlineStr">
        <is>
          <t>項目</t>
        </is>
      </c>
      <c r="B46" s="4" t="inlineStr">
        <is>
          <t>チェック</t>
        </is>
      </c>
      <c r="C46" s="4" t="inlineStr">
        <is>
          <t>備考</t>
        </is>
      </c>
    </row>
    <row r="47">
      <c r="A47" s="5" t="inlineStr">
        <is>
          <t>冒頭30秒で「この家のすごいところ」を1つ提示</t>
        </is>
      </c>
      <c r="B47" s="5" t="inlineStr">
        <is>
          <t>□</t>
        </is>
      </c>
      <c r="C47" s="5" t="inlineStr">
        <is>
          <t>離脱防止。最も重要なフック</t>
        </is>
      </c>
    </row>
    <row r="48">
      <c r="A48" s="5" t="inlineStr">
        <is>
          <t>間取り図テロップを序盤に表示</t>
        </is>
      </c>
      <c r="B48" s="5" t="inlineStr">
        <is>
          <t>□</t>
        </is>
      </c>
      <c r="C48" s="5" t="inlineStr">
        <is>
          <t>全体像の把握</t>
        </is>
      </c>
    </row>
    <row r="49">
      <c r="A49" s="5" t="inlineStr">
        <is>
          <t>価格情報（総額・坪単価）をテロップ表示</t>
        </is>
      </c>
      <c r="B49" s="5" t="inlineStr">
        <is>
          <t>□</t>
        </is>
      </c>
      <c r="C49" s="5" t="inlineStr">
        <is>
          <t>視聴者の最大関心事</t>
        </is>
      </c>
    </row>
    <row r="50">
      <c r="A50" s="5" t="inlineStr">
        <is>
          <t>キッチン紹介は30秒以上確保</t>
        </is>
      </c>
      <c r="B50" s="5" t="inlineStr">
        <is>
          <t>□</t>
        </is>
      </c>
      <c r="C50" s="5" t="inlineStr">
        <is>
          <t>コメント需要最多</t>
        </is>
      </c>
    </row>
    <row r="51">
      <c r="A51" s="5" t="inlineStr">
        <is>
          <t>バリアフリー要素に言及</t>
        </is>
      </c>
      <c r="B51" s="5" t="inlineStr">
        <is>
          <t>□</t>
        </is>
      </c>
      <c r="C51" s="5" t="inlineStr">
        <is>
          <t>最多視聴者層向け</t>
        </is>
      </c>
    </row>
    <row r="52">
      <c r="A52" s="5" t="inlineStr">
        <is>
          <t>ユーモアのあるナレーションを1-2箇所入れる</t>
        </is>
      </c>
      <c r="B52" s="5" t="inlineStr">
        <is>
          <t>□</t>
        </is>
      </c>
      <c r="C52" s="5" t="inlineStr">
        <is>
          <t>視聴維持率UP</t>
        </is>
      </c>
    </row>
    <row r="53">
      <c r="A53" s="5" t="inlineStr">
        <is>
          <t>動画の長さ：12-15分に収める</t>
        </is>
      </c>
      <c r="B53" s="5" t="inlineStr">
        <is>
          <t>□</t>
        </is>
      </c>
      <c r="C53" s="5" t="inlineStr">
        <is>
          <t>18分は長め。テンポよく</t>
        </is>
      </c>
    </row>
    <row r="54">
      <c r="A54" s="5" t="inlineStr">
        <is>
          <t>エンディングにWebサイト・LINE誘導テロップ</t>
        </is>
      </c>
      <c r="B54" s="5" t="inlineStr">
        <is>
          <t>□</t>
        </is>
      </c>
      <c r="C54" s="5" t="inlineStr">
        <is>
          <t>送客導線</t>
        </is>
      </c>
    </row>
    <row r="55">
      <c r="A55" s="5" t="inlineStr">
        <is>
          <t>サムネイル：外観写真＋3-5文字テキスト＋坪数or価格</t>
        </is>
      </c>
      <c r="B55" s="5" t="inlineStr">
        <is>
          <t>□</t>
        </is>
      </c>
      <c r="C55" s="5" t="inlineStr">
        <is>
          <t>モバイル最適化</t>
        </is>
      </c>
    </row>
    <row r="56">
      <c r="A56" s="5" t="inlineStr">
        <is>
          <t>概要欄にぺいほーむURL・LINE・工務店情報</t>
        </is>
      </c>
      <c r="B56" s="5" t="inlineStr">
        <is>
          <t>□</t>
        </is>
      </c>
      <c r="C56" s="5" t="inlineStr">
        <is>
          <t>概要欄からの送客</t>
        </is>
      </c>
    </row>
    <row r="57">
      <c r="A57" s="5" t="inlineStr">
        <is>
          <t>タグ設定：平屋/ルームツアー/平屋間取り/鹿児島/平屋新築</t>
        </is>
      </c>
      <c r="B57" s="5" t="inlineStr">
        <is>
          <t>□</t>
        </is>
      </c>
      <c r="C57" s="5" t="inlineStr">
        <is>
          <t>検索流入</t>
        </is>
      </c>
    </row>
    <row r="58">
      <c r="A58" s="5" t="inlineStr">
        <is>
          <t>公開時間：金曜18時 or 土曜10時</t>
        </is>
      </c>
      <c r="B58" s="5" t="inlineStr">
        <is>
          <t>□</t>
        </is>
      </c>
      <c r="C58" s="5" t="inlineStr">
        <is>
          <t>視聴者のアクティブ時間帯</t>
        </is>
      </c>
    </row>
  </sheetData>
  <mergeCells count="5">
    <mergeCell ref="A1:H1"/>
    <mergeCell ref="A3:H3"/>
    <mergeCell ref="A29:H29"/>
    <mergeCell ref="A20:H20"/>
    <mergeCell ref="A45:H4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8E6C9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0" customWidth="1" min="4" max="4"/>
    <col width="25" customWidth="1" min="5" max="5"/>
    <col width="28" customWidth="1" min="6" max="6"/>
    <col width="14" customWidth="1" min="7" max="7"/>
    <col width="35" customWidth="1" min="8" max="8"/>
    <col width="28" customWidth="1" min="9" max="9"/>
  </cols>
  <sheetData>
    <row r="1">
      <c r="A1" s="4" t="inlineStr">
        <is>
          <t>STEP</t>
        </is>
      </c>
      <c r="B1" s="4" t="inlineStr">
        <is>
          <t>フェーズ名</t>
        </is>
      </c>
      <c r="C1" s="4" t="inlineStr">
        <is>
          <t>目的</t>
        </is>
      </c>
      <c r="D1" s="4" t="inlineStr">
        <is>
          <t>具体的アクション</t>
        </is>
      </c>
      <c r="E1" s="4" t="inlineStr">
        <is>
          <t>使用ツール/資料</t>
        </is>
      </c>
      <c r="F1" s="4" t="inlineStr">
        <is>
          <t>判断基準（次STEPへ進む条件）</t>
        </is>
      </c>
      <c r="G1" s="4" t="inlineStr">
        <is>
          <t>想定期間</t>
        </is>
      </c>
      <c r="H1" s="4" t="inlineStr">
        <is>
          <t>トークスクリプト要点</t>
        </is>
      </c>
      <c r="I1" s="4" t="inlineStr">
        <is>
          <t>注意点</t>
        </is>
      </c>
    </row>
    <row r="2" ht="80" customHeight="1">
      <c r="A2" s="5" t="inlineStr">
        <is>
          <t>1</t>
        </is>
      </c>
      <c r="B2" s="5" t="inlineStr">
        <is>
          <t>リスト作成</t>
        </is>
      </c>
      <c r="C2" s="5" t="inlineStr">
        <is>
          <t>アプローチ先を選定</t>
        </is>
      </c>
      <c r="D2" s="5" t="inlineStr">
        <is>
          <t>①Web検索で九州の工務店リスト作成 ②平屋施工実績がありそうな会社を選別 ③メールアドレス・問い合わせフォームURL取得</t>
        </is>
      </c>
      <c r="E2" s="5" t="inlineStr">
        <is>
          <t>工務店ターゲットリスト（スプシ）</t>
        </is>
      </c>
      <c r="F2" s="5" t="inlineStr">
        <is>
          <t>50社リスト完成</t>
        </is>
      </c>
      <c r="G2" s="5" t="inlineStr">
        <is>
          <t>1週間</t>
        </is>
      </c>
      <c r="H2" s="5" t="inlineStr">
        <is>
          <t>N/A</t>
        </is>
      </c>
      <c r="I2" s="5" t="inlineStr">
        <is>
          <t>平屋実績が確認できる会社を優先。大手ハウスメーカーは対象外</t>
        </is>
      </c>
    </row>
    <row r="3" ht="80" customHeight="1">
      <c r="A3" s="5" t="inlineStr">
        <is>
          <t>2</t>
        </is>
      </c>
      <c r="B3" s="5" t="inlineStr">
        <is>
          <t>初回アプローチ</t>
        </is>
      </c>
      <c r="C3" s="5" t="inlineStr">
        <is>
          <t>接点を作る</t>
        </is>
      </c>
      <c r="D3" s="5" t="inlineStr">
        <is>
          <t>①テンプレートAをカスタマイズ ②工務店の特徴・強みを調べて本文に反映 ③メールフォームまたはメールで送信 ④送信記録をスプシに記入</t>
        </is>
      </c>
      <c r="E3" s="5" t="inlineStr">
        <is>
          <t>テンプレートA（初回提案）/メール営業管理シート</t>
        </is>
      </c>
      <c r="F3" s="5" t="inlineStr">
        <is>
          <t>メール送信完了</t>
        </is>
      </c>
      <c r="G3" s="5" t="inlineStr">
        <is>
          <t>月5社ペース</t>
        </is>
      </c>
      <c r="H3" s="5" t="inlineStr">
        <is>
          <t>「貴社の○○に注目し」→具体的な特徴を入れる</t>
        </is>
      </c>
      <c r="I3" s="5" t="inlineStr">
        <is>
          <t>一斉送信禁止。必ず1社ずつカスタマイズ</t>
        </is>
      </c>
    </row>
    <row r="4" ht="80" customHeight="1">
      <c r="A4" s="5" t="inlineStr">
        <is>
          <t>3</t>
        </is>
      </c>
      <c r="B4" s="5" t="inlineStr">
        <is>
          <t>フォローアップ</t>
        </is>
      </c>
      <c r="C4" s="5" t="inlineStr">
        <is>
          <t>返信を促す</t>
        </is>
      </c>
      <c r="D4" s="5" t="inlineStr">
        <is>
          <t>①7日後に未返信の場合テンプレートBを送信 ②最新の動画実績を1つ追加 ③2回目も未返信なら1ヶ月後にテンプレートCで再アプローチ</t>
        </is>
      </c>
      <c r="E4" s="5" t="inlineStr">
        <is>
          <t>テンプレートB（フォロー）</t>
        </is>
      </c>
      <c r="F4" s="5" t="inlineStr">
        <is>
          <t>返信あり</t>
        </is>
      </c>
      <c r="G4" s="5" t="inlineStr">
        <is>
          <t>送信後7日</t>
        </is>
      </c>
      <c r="H4" s="5" t="inlineStr">
        <is>
          <t>最新動画の再生数を具体的に入れる</t>
        </is>
      </c>
      <c r="I4" s="5" t="inlineStr">
        <is>
          <t>2回フォローして反応なしなら3ヶ月後に再アプローチ</t>
        </is>
      </c>
    </row>
    <row r="5" ht="80" customHeight="1">
      <c r="A5" s="5" t="inlineStr">
        <is>
          <t>4</t>
        </is>
      </c>
      <c r="B5" s="5" t="inlineStr">
        <is>
          <t>オンライン商談</t>
        </is>
      </c>
      <c r="C5" s="5" t="inlineStr">
        <is>
          <t>ニーズ把握</t>
        </is>
      </c>
      <c r="D5" s="5" t="inlineStr">
        <is>
          <t>①15分のオンラインミーティング実施 ②工務店の課題をヒアリング ③ぺいほーむの概要を提案書で説明 ④トライアルの打診</t>
        </is>
      </c>
      <c r="E5" s="5" t="inlineStr">
        <is>
          <t>提案書（PPTX）/Zoom or Google Meet</t>
        </is>
      </c>
      <c r="F5" s="5" t="inlineStr">
        <is>
          <t>商談実施</t>
        </is>
      </c>
      <c r="G5" s="5" t="inlineStr">
        <is>
          <t>アポから1週間以内</t>
        </is>
      </c>
      <c r="H5" s="5" t="inlineStr">
        <is>
          <t>「現在の集客で困っていることは？」「反響単価はいくら？」</t>
        </is>
      </c>
      <c r="I5" s="5" t="inlineStr">
        <is>
          <t>聞く7割、話す3割。課題を先に引き出す</t>
        </is>
      </c>
    </row>
    <row r="6" ht="80" customHeight="1">
      <c r="A6" s="5" t="inlineStr">
        <is>
          <t>5</t>
        </is>
      </c>
      <c r="B6" s="5" t="inlineStr">
        <is>
          <t>提案書送付</t>
        </is>
      </c>
      <c r="C6" s="5" t="inlineStr">
        <is>
          <t>検討材料を提供</t>
        </is>
      </c>
      <c r="D6" s="5" t="inlineStr">
        <is>
          <t>①商談内容を踏まえてプラン推奨 ②テンプレートDで提案書PDF送付 ③1週間後にフォロー連絡</t>
        </is>
      </c>
      <c r="E6" s="5" t="inlineStr">
        <is>
          <t>テンプレートD（事例共有）/提案書PDF</t>
        </is>
      </c>
      <c r="F6" s="5" t="inlineStr">
        <is>
          <t>提案書送付完了</t>
        </is>
      </c>
      <c r="G6" s="5" t="inlineStr">
        <is>
          <t>商談後2日以内</t>
        </is>
      </c>
      <c r="H6" s="5" t="inlineStr">
        <is>
          <t>「先日のお話を踏まえ、○○プランが最適と考えます」</t>
        </is>
      </c>
      <c r="I6" s="5" t="inlineStr">
        <is>
          <t>鮮度が命。商談後2日以内に送る</t>
        </is>
      </c>
    </row>
    <row r="7" ht="80" customHeight="1">
      <c r="A7" s="5" t="inlineStr">
        <is>
          <t>6</t>
        </is>
      </c>
      <c r="B7" s="5" t="inlineStr">
        <is>
          <t>トライアル案内</t>
        </is>
      </c>
      <c r="C7" s="5" t="inlineStr">
        <is>
          <t>行動ハードルを下げる</t>
        </is>
      </c>
      <c r="D7" s="5" t="inlineStr">
        <is>
          <t>①テンプレートEで無料トライアルの詳細送付 ②撮影日程の候補を3つ提示 ③「参加希望」の返信をもらう</t>
        </is>
      </c>
      <c r="E7" s="5" t="inlineStr">
        <is>
          <t>テンプレートE（トライアル）</t>
        </is>
      </c>
      <c r="F7" s="5" t="inlineStr">
        <is>
          <t>トライアル参加表明</t>
        </is>
      </c>
      <c r="G7" s="5" t="inlineStr">
        <is>
          <t>提案後1週間</t>
        </is>
      </c>
      <c r="H7" s="5" t="inlineStr">
        <is>
          <t>「まずは1ヶ月無料で効果を実感してください」</t>
        </is>
      </c>
      <c r="I7" s="5" t="inlineStr">
        <is>
          <t>無料であること・継続義務なしを強調</t>
        </is>
      </c>
    </row>
    <row r="8" ht="80" customHeight="1">
      <c r="A8" s="5" t="inlineStr">
        <is>
          <t>7</t>
        </is>
      </c>
      <c r="B8" s="5" t="inlineStr">
        <is>
          <t>トライアル実施</t>
        </is>
      </c>
      <c r="C8" s="5" t="inlineStr">
        <is>
          <t>価値を体感してもらう</t>
        </is>
      </c>
      <c r="D8" s="5" t="inlineStr">
        <is>
          <t>①掲載情報ヒアリング（オンライン30分） ②ルームツアー撮影 ③動画公開+Webページ掲載 ④反響をお届け</t>
        </is>
      </c>
      <c r="E8" s="5" t="inlineStr">
        <is>
          <t>ヒアリングシート/撮影機材/掲載基準書</t>
        </is>
      </c>
      <c r="F8" s="5" t="inlineStr">
        <is>
          <t>トライアル完了</t>
        </is>
      </c>
      <c r="G8" s="5" t="inlineStr">
        <is>
          <t>1ヶ月</t>
        </is>
      </c>
      <c r="H8" s="5" t="inlineStr">
        <is>
          <t>撮影時：「視聴者はキッチン・収納に最も関心があります」</t>
        </is>
      </c>
      <c r="I8" s="5" t="inlineStr">
        <is>
          <t>撮影品質が全て。最高の動画を撮る</t>
        </is>
      </c>
    </row>
    <row r="9" ht="80" customHeight="1">
      <c r="A9" s="5" t="inlineStr">
        <is>
          <t>8</t>
        </is>
      </c>
      <c r="B9" s="5" t="inlineStr">
        <is>
          <t>レポート共有</t>
        </is>
      </c>
      <c r="C9" s="5" t="inlineStr">
        <is>
          <t>成果を示す</t>
        </is>
      </c>
      <c r="D9" s="5" t="inlineStr">
        <is>
          <t>①1ヶ月間のレポート作成（動画再生数・Web閲覧数・反響数） ②対面またはオンラインで共有 ③有料プランの提案</t>
        </is>
      </c>
      <c r="E9" s="5" t="inlineStr">
        <is>
          <t>月次レポートテンプレート</t>
        </is>
      </c>
      <c r="F9" s="5" t="inlineStr">
        <is>
          <t>レポート共有完了</t>
        </is>
      </c>
      <c r="G9" s="5" t="inlineStr">
        <is>
          <t>トライアル終了後3日以内</t>
        </is>
      </c>
      <c r="H9" s="5" t="inlineStr">
        <is>
          <t>「1ヶ月で○件の反響がありました。業界平均の単価は○円ですが…」</t>
        </is>
      </c>
      <c r="I9" s="5" t="inlineStr">
        <is>
          <t>数字で語る。感覚的な説明はNG</t>
        </is>
      </c>
    </row>
    <row r="10" ht="80" customHeight="1">
      <c r="A10" s="5" t="inlineStr">
        <is>
          <t>9</t>
        </is>
      </c>
      <c r="B10" s="5" t="inlineStr">
        <is>
          <t>契約締結</t>
        </is>
      </c>
      <c r="C10" s="5" t="inlineStr">
        <is>
          <t>有料パートナー化</t>
        </is>
      </c>
      <c r="D10" s="5" t="inlineStr">
        <is>
          <t>①推奨プランの提案 ②契約書の説明・締結 ③初回請求 ④運用開始</t>
        </is>
      </c>
      <c r="E10" s="5" t="inlineStr">
        <is>
          <t>契約書テンプレート/請求書</t>
        </is>
      </c>
      <c r="F10" s="5" t="inlineStr">
        <is>
          <t>契約書締結</t>
        </is>
      </c>
      <c r="G10" s="5" t="inlineStr">
        <is>
          <t>レポート後1-2週間</t>
        </is>
      </c>
      <c r="H10" s="5" t="inlineStr">
        <is>
          <t>「スタンダードプランが最もバランスが良いと考えます」</t>
        </is>
      </c>
      <c r="I10" s="5" t="inlineStr">
        <is>
          <t>無理に高いプランを押さない。信頼関係を優先</t>
        </is>
      </c>
    </row>
    <row r="11" ht="80" customHeight="1">
      <c r="A11" s="5" t="inlineStr">
        <is>
          <t>10</t>
        </is>
      </c>
      <c r="B11" s="5" t="inlineStr">
        <is>
          <t>運用・フォロー</t>
        </is>
      </c>
      <c r="C11" s="5" t="inlineStr">
        <is>
          <t>長期パートナーシップ</t>
        </is>
      </c>
      <c r="D11" s="5" t="inlineStr">
        <is>
          <t>①月次レポート送付 ②四半期ごとの振り返りミーティング ③追加撮影・コンテンツ制作 ④紹介獲得</t>
        </is>
      </c>
      <c r="E11" s="5" t="inlineStr">
        <is>
          <t>月次レポート/振り返りアジェンダ</t>
        </is>
      </c>
      <c r="F11" s="5" t="inlineStr">
        <is>
          <t>継続契約</t>
        </is>
      </c>
      <c r="G11" s="5" t="inlineStr">
        <is>
          <t>継続</t>
        </is>
      </c>
      <c r="H11" s="5" t="inlineStr">
        <is>
          <t>「今月は○件の反響がありました。来月は○○を改善しましょう」</t>
        </is>
      </c>
      <c r="I11" s="5" t="inlineStr">
        <is>
          <t>退会の兆候を見逃さない。課題があれば先手で対応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1BEE7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38" customWidth="1" min="4" max="4"/>
  </cols>
  <sheetData>
    <row r="1">
      <c r="A1" s="4" t="inlineStr">
        <is>
          <t>項目</t>
        </is>
      </c>
      <c r="B1" s="4" t="inlineStr">
        <is>
          <t>ペルソナ1: セカンドライフ田中さん</t>
        </is>
      </c>
      <c r="C1" s="4" t="inlineStr">
        <is>
          <t>ペルソナ2: 建て替え鈴木さん</t>
        </is>
      </c>
      <c r="D1" s="4" t="inlineStr">
        <is>
          <t>ペルソナ3: 初回取得 山田さん</t>
        </is>
      </c>
    </row>
    <row r="2">
      <c r="A2" s="5" t="inlineStr">
        <is>
          <t>名前（仮）</t>
        </is>
      </c>
      <c r="B2" s="5" t="inlineStr">
        <is>
          <t>田中 洋子</t>
        </is>
      </c>
      <c r="C2" s="5" t="inlineStr">
        <is>
          <t>鈴木 恵美</t>
        </is>
      </c>
      <c r="D2" s="5" t="inlineStr">
        <is>
          <t>山田 翔太・美咲</t>
        </is>
      </c>
    </row>
    <row r="3">
      <c r="A3" s="5" t="inlineStr">
        <is>
          <t>年齢</t>
        </is>
      </c>
      <c r="B3" s="5" t="inlineStr">
        <is>
          <t>62歳</t>
        </is>
      </c>
      <c r="C3" s="5" t="inlineStr">
        <is>
          <t>52歳</t>
        </is>
      </c>
      <c r="D3" s="5" t="inlineStr">
        <is>
          <t>38歳</t>
        </is>
      </c>
    </row>
    <row r="4">
      <c r="A4" s="5" t="inlineStr">
        <is>
          <t>性別</t>
        </is>
      </c>
      <c r="B4" s="5" t="inlineStr">
        <is>
          <t>女性</t>
        </is>
      </c>
      <c r="C4" s="5" t="inlineStr">
        <is>
          <t>女性</t>
        </is>
      </c>
      <c r="D4" s="5" t="inlineStr">
        <is>
          <t>夫婦（妻が主導）</t>
        </is>
      </c>
    </row>
    <row r="5">
      <c r="A5" s="5" t="inlineStr">
        <is>
          <t>家族構成</t>
        </is>
      </c>
      <c r="B5" s="5" t="inlineStr">
        <is>
          <t>夫婦2人（子供は独立）</t>
        </is>
      </c>
      <c r="C5" s="5" t="inlineStr">
        <is>
          <t>夫婦＋高校生の子供1人</t>
        </is>
      </c>
      <c r="D5" s="5" t="inlineStr">
        <is>
          <t>夫婦＋幼児2人（3歳・1歳）</t>
        </is>
      </c>
    </row>
    <row r="6">
      <c r="A6" s="5" t="inlineStr">
        <is>
          <t>居住地</t>
        </is>
      </c>
      <c r="B6" s="5" t="inlineStr">
        <is>
          <t>鹿児島市</t>
        </is>
      </c>
      <c r="C6" s="5" t="inlineStr">
        <is>
          <t>福岡市近郊</t>
        </is>
      </c>
      <c r="D6" s="5" t="inlineStr">
        <is>
          <t>鹿児島市近郊</t>
        </is>
      </c>
    </row>
    <row r="7">
      <c r="A7" s="5" t="inlineStr">
        <is>
          <t>現在の住まい</t>
        </is>
      </c>
      <c r="B7" s="5" t="inlineStr">
        <is>
          <t>築30年の2階建て戸建て</t>
        </is>
      </c>
      <c r="C7" s="5" t="inlineStr">
        <is>
          <t>築25年の2階建て戸建て</t>
        </is>
      </c>
      <c r="D7" s="5" t="inlineStr">
        <is>
          <t>賃貸マンション（2LDK）</t>
        </is>
      </c>
    </row>
    <row r="8">
      <c r="A8" s="5" t="inlineStr">
        <is>
          <t>年収</t>
        </is>
      </c>
      <c r="B8" s="5" t="inlineStr">
        <is>
          <t>年金＋貯蓄（世帯600万円）</t>
        </is>
      </c>
      <c r="C8" s="5" t="inlineStr">
        <is>
          <t>世帯800万円</t>
        </is>
      </c>
      <c r="D8" s="5" t="inlineStr">
        <is>
          <t>世帯550万円</t>
        </is>
      </c>
    </row>
    <row r="9">
      <c r="A9" s="5" t="inlineStr">
        <is>
          <t>予算</t>
        </is>
      </c>
      <c r="B9" s="5" t="inlineStr">
        <is>
          <t>2,000〜2,800万円</t>
        </is>
      </c>
      <c r="C9" s="5" t="inlineStr">
        <is>
          <t>2,500〜3,500万円</t>
        </is>
      </c>
      <c r="D9" s="5" t="inlineStr">
        <is>
          <t>1,800〜2,500万円</t>
        </is>
      </c>
    </row>
    <row r="10">
      <c r="A10" s="5" t="inlineStr">
        <is>
          <t>土地</t>
        </is>
      </c>
      <c r="B10" s="5" t="inlineStr">
        <is>
          <t>あり（現在の土地に建て替え）</t>
        </is>
      </c>
      <c r="C10" s="5" t="inlineStr">
        <is>
          <t>あり（現在の土地に建て替え）</t>
        </is>
      </c>
      <c r="D10" s="5" t="inlineStr">
        <is>
          <t>なし（土地探しから）</t>
        </is>
      </c>
    </row>
    <row r="11">
      <c r="A11" s="5" t="inlineStr">
        <is>
          <t>平屋を選ぶ理由</t>
        </is>
      </c>
      <c r="B11" s="5" t="inlineStr">
        <is>
          <t>老後の階段が不安。2階は使わなくなった。コンパクトに暮らしたい</t>
        </is>
      </c>
      <c r="C11" s="5" t="inlineStr">
        <is>
          <t>子供が独立後を見据えて。家事動線を楽にしたい。将来のバリアフリー対応</t>
        </is>
      </c>
      <c r="D11" s="5" t="inlineStr">
        <is>
          <t>子育て中の安全性。子供の様子が見えるワンフロア。庭で遊ばせたい</t>
        </is>
      </c>
    </row>
    <row r="12">
      <c r="A12" s="5" t="inlineStr">
        <is>
          <t>最も重視すること</t>
        </is>
      </c>
      <c r="B12" s="5" t="inlineStr">
        <is>
          <t>バリアフリー・段差なし・コンパクト・管理のしやすさ</t>
        </is>
      </c>
      <c r="C12" s="5" t="inlineStr">
        <is>
          <t>家事動線・収納・キッチン・おしゃれなデザイン</t>
        </is>
      </c>
      <c r="D12" s="5" t="inlineStr">
        <is>
          <t>価格・子育て動線・将来の部屋数・土地提案</t>
        </is>
      </c>
    </row>
    <row r="13">
      <c r="A13" s="5" t="inlineStr">
        <is>
          <t>不安・悩み</t>
        </is>
      </c>
      <c r="B13" s="5" t="inlineStr">
        <is>
          <t>老後の資金が心配。価格は抑えたい。信頼できる工務店が分からない</t>
        </is>
      </c>
      <c r="C13" s="5" t="inlineStr">
        <is>
          <t>どの工務店がいいか分からない。展示場を回る時間がない。2階建てと迷っている</t>
        </is>
      </c>
      <c r="D13" s="5" t="inlineStr">
        <is>
          <t>頭金が少ない。ローンが不安。土地探しの方法が分からない。平屋は高いイメージ</t>
        </is>
      </c>
    </row>
    <row r="14">
      <c r="A14" s="5" t="inlineStr">
        <is>
          <t>情報収集方法</t>
        </is>
      </c>
      <c r="B14" s="5" t="inlineStr">
        <is>
          <t>YouTube（ぺいほーむ）を毎日見ている。テレビCM。知人の口コミ</t>
        </is>
      </c>
      <c r="C14" s="5" t="inlineStr">
        <is>
          <t>YouTube＋Instagram。Googleで「平屋 間取り」検索。住宅雑誌</t>
        </is>
      </c>
      <c r="D14" s="5" t="inlineStr">
        <is>
          <t>YouTube＋Instagram＋TikTok。SNSの口コミ。住宅展示場</t>
        </is>
      </c>
    </row>
    <row r="15">
      <c r="A15" s="5" t="inlineStr">
        <is>
          <t>デバイス</t>
        </is>
      </c>
      <c r="B15" s="5" t="inlineStr">
        <is>
          <t>タブレット（iPad）50%＋スマホ50%</t>
        </is>
      </c>
      <c r="C15" s="5" t="inlineStr">
        <is>
          <t>スマホ80%＋PC20%</t>
        </is>
      </c>
      <c r="D15" s="5" t="inlineStr">
        <is>
          <t>スマホ95%</t>
        </is>
      </c>
    </row>
    <row r="16">
      <c r="A16" s="5" t="inlineStr">
        <is>
          <t>検討フェーズ</t>
        </is>
      </c>
      <c r="B16" s="5" t="inlineStr">
        <is>
          <t>情報収集〜比較検討（半年以内に着工したい）</t>
        </is>
      </c>
      <c r="C16" s="5" t="inlineStr">
        <is>
          <t>情報収集（1年以内に決めたい）</t>
        </is>
      </c>
      <c r="D16" s="5" t="inlineStr">
        <is>
          <t>初期段階（漠然と「いつか」）</t>
        </is>
      </c>
    </row>
    <row r="17">
      <c r="A17" s="5" t="inlineStr">
        <is>
          <t>YouTubeで見たい動画</t>
        </is>
      </c>
      <c r="B17" s="5" t="inlineStr">
        <is>
          <t>「老後も安心」「コンパクト」「2人暮らし」「バリアフリー」</t>
        </is>
      </c>
      <c r="C17" s="5" t="inlineStr">
        <is>
          <t>「おしゃれ」「間取り」「家事動線」「収納」</t>
        </is>
      </c>
      <c r="D17" s="5" t="inlineStr">
        <is>
          <t>「お値段大公開」「コスパ」「子育て」「土地付き」</t>
        </is>
      </c>
    </row>
    <row r="18">
      <c r="A18" s="5" t="inlineStr">
        <is>
          <t>CVのきっかけ</t>
        </is>
      </c>
      <c r="B18" s="5" t="inlineStr">
        <is>
          <t>「この工務店に相談してみたい」→無料相談</t>
        </is>
      </c>
      <c r="C18" s="5" t="inlineStr">
        <is>
          <t>「間取りの参考にしたい」→資料請求</t>
        </is>
      </c>
      <c r="D18" s="5" t="inlineStr">
        <is>
          <t>「いくらかかるか知りたい」→ローンシミュレーター→相談</t>
        </is>
      </c>
    </row>
    <row r="19">
      <c r="A19" s="5" t="inlineStr">
        <is>
          <t>ぺいほーむに求めること</t>
        </is>
      </c>
      <c r="B19" s="5" t="inlineStr">
        <is>
          <t>信頼できる工務店を紹介してほしい。営業されたくない</t>
        </is>
      </c>
      <c r="C19" s="5" t="inlineStr">
        <is>
          <t>複数の工務店を比較したい。効率よく情報を集めたい</t>
        </is>
      </c>
      <c r="D19" s="5" t="inlineStr">
        <is>
          <t>価格情報を具体的に知りたい。土地も一緒に相談したい</t>
        </is>
      </c>
    </row>
    <row r="20">
      <c r="A20" s="5" t="inlineStr">
        <is>
          <t>AI活用への期待</t>
        </is>
      </c>
      <c r="B20" s="5" t="inlineStr">
        <is>
          <t>使い方が分からないが「聞くだけ」なら使いたい</t>
        </is>
      </c>
      <c r="C20" s="5" t="inlineStr">
        <is>
          <t>24時間いつでも相談できるのは助かる</t>
        </is>
      </c>
      <c r="D20" s="5" t="inlineStr">
        <is>
          <t>LINEのように気軽に使いたい</t>
        </is>
      </c>
    </row>
    <row r="21">
      <c r="A21" s="5" t="inlineStr">
        <is>
          <t>構成比（YouTube実データ）</t>
        </is>
      </c>
      <c r="B21" s="5" t="inlineStr">
        <is>
          <t>35.3%（55-64歳）+ 21.6%（65歳以上）= 56.9%</t>
        </is>
      </c>
      <c r="C21" s="5" t="inlineStr">
        <is>
          <t>29.1%（45-54歳）</t>
        </is>
      </c>
      <c r="D21" s="5" t="inlineStr">
        <is>
          <t>10.9%（35-44歳）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8740C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4" t="inlineStr">
        <is>
          <t>項目</t>
        </is>
      </c>
      <c r="B1" s="4" t="inlineStr">
        <is>
          <t>4月</t>
        </is>
      </c>
      <c r="C1" s="4" t="inlineStr">
        <is>
          <t>5月</t>
        </is>
      </c>
      <c r="D1" s="4" t="inlineStr">
        <is>
          <t>6月</t>
        </is>
      </c>
      <c r="E1" s="4" t="inlineStr">
        <is>
          <t>7月</t>
        </is>
      </c>
      <c r="F1" s="4" t="inlineStr">
        <is>
          <t>8月</t>
        </is>
      </c>
      <c r="G1" s="4" t="inlineStr">
        <is>
          <t>9月</t>
        </is>
      </c>
      <c r="H1" s="4" t="inlineStr">
        <is>
          <t>Q2合計</t>
        </is>
      </c>
      <c r="I1" s="4" t="inlineStr">
        <is>
          <t>備考</t>
        </is>
      </c>
    </row>
    <row r="2">
      <c r="A2" s="7" t="inlineStr">
        <is>
          <t>【売上】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</row>
    <row r="3">
      <c r="A3" s="5" t="inlineStr">
        <is>
          <t>YouTube広告収益</t>
        </is>
      </c>
      <c r="B3" s="5" t="inlineStr"/>
      <c r="C3" s="5" t="inlineStr"/>
      <c r="D3" s="5" t="inlineStr"/>
      <c r="E3" s="5" t="inlineStr"/>
      <c r="F3" s="5" t="inlineStr"/>
      <c r="G3" s="5" t="inlineStr"/>
      <c r="H3" s="5">
        <f>SUM(B3:G3)</f>
        <v/>
      </c>
      <c r="I3" s="5" t="inlineStr">
        <is>
          <t>YouTubeアナリティクスから</t>
        </is>
      </c>
    </row>
    <row r="4">
      <c r="A4" s="5" t="inlineStr">
        <is>
          <t>反響課金（リード送客）</t>
        </is>
      </c>
      <c r="B4" s="5" t="inlineStr"/>
      <c r="C4" s="5" t="inlineStr"/>
      <c r="D4" s="5" t="inlineStr"/>
      <c r="E4" s="5" t="inlineStr"/>
      <c r="F4" s="5" t="inlineStr"/>
      <c r="G4" s="5" t="inlineStr"/>
      <c r="H4" s="5">
        <f>SUM(B4:G4)</f>
        <v/>
      </c>
      <c r="I4" s="5" t="inlineStr">
        <is>
          <t>リード数×単価</t>
        </is>
      </c>
    </row>
    <row r="5">
      <c r="A5" s="5" t="inlineStr">
        <is>
          <t>掲載料（月額パートナー）</t>
        </is>
      </c>
      <c r="B5" s="5" t="inlineStr"/>
      <c r="C5" s="5" t="inlineStr"/>
      <c r="D5" s="5" t="inlineStr"/>
      <c r="E5" s="5" t="inlineStr"/>
      <c r="F5" s="5" t="inlineStr"/>
      <c r="G5" s="5" t="inlineStr"/>
      <c r="H5" s="5">
        <f>SUM(B5:G5)</f>
        <v/>
      </c>
      <c r="I5" s="5" t="inlineStr">
        <is>
          <t>パートナー数×月額</t>
        </is>
      </c>
    </row>
    <row r="6">
      <c r="A6" s="5" t="inlineStr">
        <is>
          <t>動画撮影費</t>
        </is>
      </c>
      <c r="B6" s="5" t="inlineStr"/>
      <c r="C6" s="5" t="inlineStr"/>
      <c r="D6" s="5" t="inlineStr"/>
      <c r="E6" s="5" t="inlineStr"/>
      <c r="F6" s="5" t="inlineStr"/>
      <c r="G6" s="5" t="inlineStr"/>
      <c r="H6" s="5">
        <f>SUM(B6:G6)</f>
        <v/>
      </c>
      <c r="I6" s="5" t="inlineStr">
        <is>
          <t>撮影本数×単価</t>
        </is>
      </c>
    </row>
    <row r="7">
      <c r="A7" s="5" t="inlineStr">
        <is>
          <t>SNS運用代行</t>
        </is>
      </c>
      <c r="B7" s="5" t="inlineStr"/>
      <c r="C7" s="5" t="inlineStr"/>
      <c r="D7" s="5" t="inlineStr"/>
      <c r="E7" s="5" t="inlineStr"/>
      <c r="F7" s="5" t="inlineStr"/>
      <c r="G7" s="5" t="inlineStr"/>
      <c r="H7" s="5">
        <f>SUM(B7:G7)</f>
        <v/>
      </c>
      <c r="I7" s="5" t="inlineStr">
        <is>
          <t>契約社数×月額</t>
        </is>
      </c>
    </row>
    <row r="8">
      <c r="A8" s="5" t="inlineStr">
        <is>
          <t>その他売上</t>
        </is>
      </c>
      <c r="B8" s="5" t="inlineStr"/>
      <c r="C8" s="5" t="inlineStr"/>
      <c r="D8" s="5" t="inlineStr"/>
      <c r="E8" s="5" t="inlineStr"/>
      <c r="F8" s="5" t="inlineStr"/>
      <c r="G8" s="5" t="inlineStr"/>
      <c r="H8" s="5">
        <f>SUM(B8:G8)</f>
        <v/>
      </c>
      <c r="I8" s="5" t="inlineStr"/>
    </row>
    <row r="9">
      <c r="A9" s="7" t="inlineStr">
        <is>
          <t>売上合計</t>
        </is>
      </c>
      <c r="B9" s="7">
        <f>SUM(B3:B8)</f>
        <v/>
      </c>
      <c r="C9" s="7">
        <f>SUM(C3:C8)</f>
        <v/>
      </c>
      <c r="D9" s="7">
        <f>SUM(D3:D8)</f>
        <v/>
      </c>
      <c r="E9" s="7">
        <f>SUM(E3:E8)</f>
        <v/>
      </c>
      <c r="F9" s="7">
        <f>SUM(F3:F8)</f>
        <v/>
      </c>
      <c r="G9" s="7">
        <f>SUM(G3:G8)</f>
        <v/>
      </c>
      <c r="H9" s="7">
        <f>SUM(B9:G9)</f>
        <v/>
      </c>
      <c r="I9" s="7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7" t="inlineStr">
        <is>
          <t>【経費】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5" t="inlineStr">
        <is>
          <t>撮影・制作費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>
        <f>SUM(B12:G12)</f>
        <v/>
      </c>
      <c r="I12" s="5" t="inlineStr">
        <is>
          <t>外注・機材・交通費</t>
        </is>
      </c>
    </row>
    <row r="13">
      <c r="A13" s="5" t="inlineStr">
        <is>
          <t>ツール費（Supabase/Vercel等）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>
        <f>SUM(B13:G13)</f>
        <v/>
      </c>
      <c r="I13" s="5" t="inlineStr">
        <is>
          <t>月額固定</t>
        </is>
      </c>
    </row>
    <row r="14">
      <c r="A14" s="5" t="inlineStr">
        <is>
          <t>広告費（YouTube/SNS）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>
        <f>SUM(B14:G14)</f>
        <v/>
      </c>
      <c r="I14" s="5" t="inlineStr"/>
    </row>
    <row r="15">
      <c r="A15" s="5" t="inlineStr">
        <is>
          <t>人件費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>
        <f>SUM(B15:G15)</f>
        <v/>
      </c>
      <c r="I15" s="5" t="inlineStr"/>
    </row>
    <row r="16">
      <c r="A16" s="5" t="inlineStr">
        <is>
          <t>通信費・その他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>
        <f>SUM(B16:G16)</f>
        <v/>
      </c>
      <c r="I16" s="5" t="inlineStr"/>
    </row>
    <row r="17">
      <c r="A17" s="7" t="inlineStr">
        <is>
          <t>経費合計</t>
        </is>
      </c>
      <c r="B17" s="7">
        <f>SUM(B12:B16)</f>
        <v/>
      </c>
      <c r="C17" s="7">
        <f>SUM(C12:C16)</f>
        <v/>
      </c>
      <c r="D17" s="7">
        <f>SUM(D12:D16)</f>
        <v/>
      </c>
      <c r="E17" s="7">
        <f>SUM(E12:E16)</f>
        <v/>
      </c>
      <c r="F17" s="7">
        <f>SUM(F12:F16)</f>
        <v/>
      </c>
      <c r="G17" s="7">
        <f>SUM(G12:G16)</f>
        <v/>
      </c>
      <c r="H17" s="7">
        <f>SUM(B17:G17)</f>
        <v/>
      </c>
      <c r="I17" s="7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7" t="inlineStr">
        <is>
          <t>【損益】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</row>
    <row r="20">
      <c r="A20" s="7" t="inlineStr">
        <is>
          <t>営業利益</t>
        </is>
      </c>
      <c r="B20" s="7">
        <f>B9-B17</f>
        <v/>
      </c>
      <c r="C20" s="7">
        <f>C9-C17</f>
        <v/>
      </c>
      <c r="D20" s="7">
        <f>D9-D17</f>
        <v/>
      </c>
      <c r="E20" s="7">
        <f>E9-E17</f>
        <v/>
      </c>
      <c r="F20" s="7">
        <f>F9-F17</f>
        <v/>
      </c>
      <c r="G20" s="7">
        <f>G9-G17</f>
        <v/>
      </c>
      <c r="H20" s="7">
        <f>H9-H17</f>
        <v/>
      </c>
      <c r="I20" s="7" t="inlineStr"/>
    </row>
    <row r="21">
      <c r="A21" s="7" t="inlineStr">
        <is>
          <t>累計損益</t>
        </is>
      </c>
      <c r="B21" s="7">
        <f>B20</f>
        <v/>
      </c>
      <c r="C21" s="7">
        <f>B21+C20</f>
        <v/>
      </c>
      <c r="D21" s="7">
        <f>C21+D20</f>
        <v/>
      </c>
      <c r="E21" s="7">
        <f>D21+E20</f>
        <v/>
      </c>
      <c r="F21" s="7">
        <f>E21+F20</f>
        <v/>
      </c>
      <c r="G21" s="7">
        <f>F21+G20</f>
        <v/>
      </c>
      <c r="H21" s="7">
        <f>G21</f>
        <v/>
      </c>
      <c r="I21" s="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8740C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ぺいほーむ 週次KPIレポート</t>
        </is>
      </c>
    </row>
    <row r="2">
      <c r="A2" s="2" t="inlineStr">
        <is>
          <t>対象期間:</t>
        </is>
      </c>
      <c r="B2" s="2" t="inlineStr">
        <is>
          <t>2026/○/○ 〜 2026/○/○</t>
        </is>
      </c>
    </row>
    <row r="4">
      <c r="A4" s="4" t="inlineStr">
        <is>
          <t>KPI</t>
        </is>
      </c>
      <c r="B4" s="4" t="inlineStr">
        <is>
          <t>今週</t>
        </is>
      </c>
      <c r="C4" s="4" t="inlineStr">
        <is>
          <t>先週</t>
        </is>
      </c>
      <c r="D4" s="4" t="inlineStr">
        <is>
          <t>増減</t>
        </is>
      </c>
      <c r="E4" s="4" t="inlineStr">
        <is>
          <t>目標</t>
        </is>
      </c>
      <c r="F4" s="4" t="inlineStr">
        <is>
          <t>達成率</t>
        </is>
      </c>
      <c r="G4" s="4" t="inlineStr">
        <is>
          <t>メモ</t>
        </is>
      </c>
    </row>
    <row r="5">
      <c r="A5" s="5" t="inlineStr">
        <is>
          <t>WebサイトPV</t>
        </is>
      </c>
      <c r="B5" s="5" t="inlineStr"/>
      <c r="C5" s="5" t="inlineStr"/>
      <c r="D5" s="5">
        <f>B5-C5</f>
        <v/>
      </c>
      <c r="E5" s="5" t="inlineStr"/>
      <c r="F5" s="5">
        <f>IF(E5=0,"",B5/E5)</f>
        <v/>
      </c>
      <c r="G5" s="5" t="inlineStr"/>
    </row>
    <row r="6">
      <c r="A6" s="5" t="inlineStr">
        <is>
          <t>YouTube週間視聴回数</t>
        </is>
      </c>
      <c r="B6" s="5" t="inlineStr"/>
      <c r="C6" s="5" t="inlineStr"/>
      <c r="D6" s="5">
        <f>B6-C6</f>
        <v/>
      </c>
      <c r="E6" s="5" t="inlineStr"/>
      <c r="F6" s="5">
        <f>IF(E6=0,"",B6/E6)</f>
        <v/>
      </c>
      <c r="G6" s="5" t="inlineStr"/>
    </row>
    <row r="7">
      <c r="A7" s="5" t="inlineStr">
        <is>
          <t>AI相談開始数</t>
        </is>
      </c>
      <c r="B7" s="5" t="inlineStr"/>
      <c r="C7" s="5" t="inlineStr"/>
      <c r="D7" s="5">
        <f>B7-C7</f>
        <v/>
      </c>
      <c r="E7" s="5" t="inlineStr"/>
      <c r="F7" s="5">
        <f>IF(E7=0,"",B7/E7)</f>
        <v/>
      </c>
      <c r="G7" s="5" t="inlineStr"/>
    </row>
    <row r="8">
      <c r="A8" s="5" t="inlineStr">
        <is>
          <t>新規リード数</t>
        </is>
      </c>
      <c r="B8" s="5" t="inlineStr"/>
      <c r="C8" s="5" t="inlineStr"/>
      <c r="D8" s="5">
        <f>B8-C8</f>
        <v/>
      </c>
      <c r="E8" s="5" t="inlineStr"/>
      <c r="F8" s="5">
        <f>IF(E8=0,"",B8/E8)</f>
        <v/>
      </c>
      <c r="G8" s="5" t="inlineStr"/>
    </row>
    <row r="9">
      <c r="A9" s="5" t="inlineStr">
        <is>
          <t>相談フォーム送信数</t>
        </is>
      </c>
      <c r="B9" s="5" t="inlineStr"/>
      <c r="C9" s="5" t="inlineStr"/>
      <c r="D9" s="5">
        <f>B9-C9</f>
        <v/>
      </c>
      <c r="E9" s="5" t="inlineStr"/>
      <c r="F9" s="5" t="inlineStr"/>
      <c r="G9" s="5" t="inlineStr"/>
    </row>
    <row r="10">
      <c r="A10" s="5" t="inlineStr">
        <is>
          <t>資料請求数</t>
        </is>
      </c>
      <c r="B10" s="5" t="inlineStr"/>
      <c r="C10" s="5" t="inlineStr"/>
      <c r="D10" s="5">
        <f>B10-C10</f>
        <v/>
      </c>
      <c r="E10" s="5" t="inlineStr"/>
      <c r="F10" s="5" t="inlineStr"/>
      <c r="G10" s="5" t="inlineStr"/>
    </row>
    <row r="11">
      <c r="A11" s="5" t="inlineStr">
        <is>
          <t>見学会予約数</t>
        </is>
      </c>
      <c r="B11" s="5" t="inlineStr"/>
      <c r="C11" s="5" t="inlineStr"/>
      <c r="D11" s="5">
        <f>B11-C11</f>
        <v/>
      </c>
      <c r="E11" s="5" t="inlineStr"/>
      <c r="F11" s="5" t="inlineStr"/>
      <c r="G11" s="5" t="inlineStr"/>
    </row>
    <row r="12">
      <c r="A12" s="5" t="inlineStr">
        <is>
          <t>お気に入り追加数</t>
        </is>
      </c>
      <c r="B12" s="5" t="inlineStr"/>
      <c r="C12" s="5" t="inlineStr"/>
      <c r="D12" s="5">
        <f>B12-C12</f>
        <v/>
      </c>
      <c r="E12" s="5" t="inlineStr"/>
      <c r="F12" s="5" t="inlineStr"/>
      <c r="G12" s="5" t="inlineStr"/>
    </row>
    <row r="13">
      <c r="A13" s="5" t="inlineStr">
        <is>
          <t>パートナー工務店数</t>
        </is>
      </c>
      <c r="B13" s="5" t="inlineStr"/>
      <c r="C13" s="5" t="inlineStr"/>
      <c r="D13" s="5">
        <f>B13-C13</f>
        <v/>
      </c>
      <c r="E13" s="5" t="inlineStr"/>
      <c r="F13" s="5" t="inlineStr"/>
      <c r="G13" s="5" t="inlineStr"/>
    </row>
    <row r="14">
      <c r="A14" s="5" t="inlineStr">
        <is>
          <t>メール営業 送信数</t>
        </is>
      </c>
      <c r="B14" s="5" t="inlineStr"/>
      <c r="C14" s="5" t="inlineStr"/>
      <c r="D14" s="5">
        <f>B14-C14</f>
        <v/>
      </c>
      <c r="E14" s="5" t="inlineStr"/>
      <c r="F14" s="5" t="inlineStr"/>
      <c r="G14" s="5" t="inlineStr"/>
    </row>
    <row r="15">
      <c r="A15" s="5" t="inlineStr">
        <is>
          <t>メール営業 返信数</t>
        </is>
      </c>
      <c r="B15" s="5" t="inlineStr"/>
      <c r="C15" s="5" t="inlineStr"/>
      <c r="D15" s="5">
        <f>B15-C15</f>
        <v/>
      </c>
      <c r="E15" s="5" t="inlineStr"/>
      <c r="F15" s="5" t="inlineStr"/>
      <c r="G15" s="5" t="inlineStr"/>
    </row>
    <row r="17">
      <c r="A17" s="27" t="inlineStr">
        <is>
          <t>今週のアクション振り返り</t>
        </is>
      </c>
    </row>
    <row r="18">
      <c r="A18" s="2" t="inlineStr">
        <is>
          <t xml:space="preserve">□ </t>
        </is>
      </c>
    </row>
    <row r="19">
      <c r="A19" s="2" t="inlineStr">
        <is>
          <t xml:space="preserve">□ </t>
        </is>
      </c>
    </row>
    <row r="20">
      <c r="A20" s="2" t="inlineStr">
        <is>
          <t xml:space="preserve">□ </t>
        </is>
      </c>
    </row>
    <row r="22">
      <c r="A22" s="27" t="inlineStr">
        <is>
          <t>来週のアクション</t>
        </is>
      </c>
    </row>
    <row r="23">
      <c r="A23" s="2" t="inlineStr">
        <is>
          <t xml:space="preserve">□ </t>
        </is>
      </c>
    </row>
    <row r="24">
      <c r="A24" s="2" t="inlineStr">
        <is>
          <t xml:space="preserve">□ </t>
        </is>
      </c>
    </row>
    <row r="25">
      <c r="A25" s="2" t="inlineStr">
        <is>
          <t xml:space="preserve">□ 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F9C4"/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2" customWidth="1" min="3" max="3"/>
    <col width="40" customWidth="1" min="4" max="4"/>
    <col width="14" customWidth="1" min="5" max="5"/>
    <col width="22" customWidth="1" min="6" max="6"/>
    <col width="10" customWidth="1" min="7" max="7"/>
    <col width="10" customWidth="1" min="8" max="8"/>
    <col width="10" customWidth="1" min="9" max="9"/>
    <col width="20" customWidth="1" min="10" max="10"/>
    <col width="15" customWidth="1" min="11" max="11"/>
  </cols>
  <sheetData>
    <row r="1">
      <c r="A1" s="4" t="inlineStr">
        <is>
          <t>月</t>
        </is>
      </c>
      <c r="B1" s="4" t="inlineStr">
        <is>
          <t>週</t>
        </is>
      </c>
      <c r="C1" s="4" t="inlineStr">
        <is>
          <t>種別</t>
        </is>
      </c>
      <c r="D1" s="4" t="inlineStr">
        <is>
          <t>タイトル/テーマ</t>
        </is>
      </c>
      <c r="E1" s="4" t="inlineStr">
        <is>
          <t>ターゲットペルソナ</t>
        </is>
      </c>
      <c r="F1" s="4" t="inlineStr">
        <is>
          <t>SEOキーワード</t>
        </is>
      </c>
      <c r="G1" s="4" t="inlineStr">
        <is>
          <t>担当</t>
        </is>
      </c>
      <c r="H1" s="4" t="inlineStr">
        <is>
          <t>ステータス</t>
        </is>
      </c>
      <c r="I1" s="4" t="inlineStr">
        <is>
          <t>公開日</t>
        </is>
      </c>
      <c r="J1" s="4" t="inlineStr">
        <is>
          <t>URL</t>
        </is>
      </c>
      <c r="K1" s="4" t="inlineStr">
        <is>
          <t>備考</t>
        </is>
      </c>
    </row>
    <row r="2">
      <c r="A2" s="5" t="inlineStr">
        <is>
          <t>4月</t>
        </is>
      </c>
      <c r="B2" s="5" t="inlineStr">
        <is>
          <t>W1</t>
        </is>
      </c>
      <c r="C2" s="5" t="inlineStr">
        <is>
          <t>YouTube動画</t>
        </is>
      </c>
      <c r="D2" s="5" t="inlineStr">
        <is>
          <t>小さくてかわいい平屋（①かわいい系）</t>
        </is>
      </c>
      <c r="E2" s="5" t="inlineStr">
        <is>
          <t>ペルソナ1+2</t>
        </is>
      </c>
      <c r="F2" s="5" t="inlineStr">
        <is>
          <t>平屋 かわいい</t>
        </is>
      </c>
      <c r="G2" s="5" t="inlineStr">
        <is>
          <t>コンテンツ</t>
        </is>
      </c>
      <c r="H2" s="5" t="inlineStr">
        <is>
          <t>企画中</t>
        </is>
      </c>
      <c r="I2" s="5" t="inlineStr"/>
      <c r="J2" s="5" t="inlineStr"/>
      <c r="K2" s="5" t="inlineStr"/>
    </row>
    <row r="3">
      <c r="A3" s="5" t="inlineStr">
        <is>
          <t>4月</t>
        </is>
      </c>
      <c r="B3" s="5" t="inlineStr">
        <is>
          <t>W1</t>
        </is>
      </c>
      <c r="C3" s="5" t="inlineStr">
        <is>
          <t>SEO記事</t>
        </is>
      </c>
      <c r="D3" s="5" t="inlineStr">
        <is>
          <t>鹿児島で平屋を建てる費用と相場【2026年最新】</t>
        </is>
      </c>
      <c r="E3" s="5" t="inlineStr">
        <is>
          <t>ペルソナ1</t>
        </is>
      </c>
      <c r="F3" s="5" t="inlineStr">
        <is>
          <t>平屋 鹿児島 費用</t>
        </is>
      </c>
      <c r="G3" s="5" t="inlineStr">
        <is>
          <t>コンテンツ</t>
        </is>
      </c>
      <c r="H3" s="5" t="inlineStr">
        <is>
          <t>企画中</t>
        </is>
      </c>
      <c r="I3" s="5" t="inlineStr"/>
      <c r="J3" s="5" t="inlineStr"/>
      <c r="K3" s="5" t="inlineStr">
        <is>
          <t>T-11対応</t>
        </is>
      </c>
    </row>
    <row r="4">
      <c r="A4" s="5" t="inlineStr">
        <is>
          <t>4月</t>
        </is>
      </c>
      <c r="B4" s="5" t="inlineStr">
        <is>
          <t>W2</t>
        </is>
      </c>
      <c r="C4" s="5" t="inlineStr">
        <is>
          <t>YouTube動画</t>
        </is>
      </c>
      <c r="D4" s="5" t="inlineStr">
        <is>
          <t>60代夫婦が選んだ老後安心の平屋（②老後系）</t>
        </is>
      </c>
      <c r="E4" s="5" t="inlineStr">
        <is>
          <t>ペルソナ1</t>
        </is>
      </c>
      <c r="F4" s="5" t="inlineStr">
        <is>
          <t>平屋 老後 バリアフリー</t>
        </is>
      </c>
      <c r="G4" s="5" t="inlineStr">
        <is>
          <t>コンテンツ</t>
        </is>
      </c>
      <c r="H4" s="5" t="inlineStr">
        <is>
          <t>企画中</t>
        </is>
      </c>
      <c r="I4" s="5" t="inlineStr"/>
      <c r="J4" s="5" t="inlineStr"/>
      <c r="K4" s="5" t="inlineStr"/>
    </row>
    <row r="5">
      <c r="A5" s="5" t="inlineStr">
        <is>
          <t>4月</t>
        </is>
      </c>
      <c r="B5" s="5" t="inlineStr">
        <is>
          <t>W2</t>
        </is>
      </c>
      <c r="C5" s="5" t="inlineStr">
        <is>
          <t>SEO記事</t>
        </is>
      </c>
      <c r="D5" s="5" t="inlineStr">
        <is>
          <t>平屋の間取り3LDK｜25坪でも広く感じる設計のコツ</t>
        </is>
      </c>
      <c r="E5" s="5" t="inlineStr">
        <is>
          <t>ペルソナ2</t>
        </is>
      </c>
      <c r="F5" s="5" t="inlineStr">
        <is>
          <t>平屋 間取り 3LDK</t>
        </is>
      </c>
      <c r="G5" s="5" t="inlineStr">
        <is>
          <t>コンテンツ</t>
        </is>
      </c>
      <c r="H5" s="5" t="inlineStr">
        <is>
          <t>企画中</t>
        </is>
      </c>
      <c r="I5" s="5" t="inlineStr"/>
      <c r="J5" s="5" t="inlineStr"/>
      <c r="K5" s="5" t="inlineStr"/>
    </row>
    <row r="6">
      <c r="A6" s="5" t="inlineStr">
        <is>
          <t>4月</t>
        </is>
      </c>
      <c r="B6" s="5" t="inlineStr">
        <is>
          <t>W3</t>
        </is>
      </c>
      <c r="C6" s="5" t="inlineStr">
        <is>
          <t>YouTube動画</t>
        </is>
      </c>
      <c r="D6" s="5" t="inlineStr">
        <is>
          <t>お値段全公開！2,000万円以下の高性能平屋（③価格系）</t>
        </is>
      </c>
      <c r="E6" s="5" t="inlineStr">
        <is>
          <t>ペルソナ3</t>
        </is>
      </c>
      <c r="F6" s="5" t="inlineStr">
        <is>
          <t>平屋 価格 2000万</t>
        </is>
      </c>
      <c r="G6" s="5" t="inlineStr">
        <is>
          <t>コンテンツ</t>
        </is>
      </c>
      <c r="H6" s="5" t="inlineStr">
        <is>
          <t>企画中</t>
        </is>
      </c>
      <c r="I6" s="5" t="inlineStr"/>
      <c r="J6" s="5" t="inlineStr"/>
      <c r="K6" s="5" t="inlineStr"/>
    </row>
    <row r="7">
      <c r="A7" s="5" t="inlineStr">
        <is>
          <t>4月</t>
        </is>
      </c>
      <c r="B7" s="5" t="inlineStr">
        <is>
          <t>W3</t>
        </is>
      </c>
      <c r="C7" s="5" t="inlineStr">
        <is>
          <t>ニュース</t>
        </is>
      </c>
      <c r="D7" s="5" t="inlineStr">
        <is>
          <t>2026年度の住宅補助金・減税制度まとめ</t>
        </is>
      </c>
      <c r="E7" s="5" t="inlineStr">
        <is>
          <t>全ペルソナ</t>
        </is>
      </c>
      <c r="F7" s="5" t="inlineStr">
        <is>
          <t>住宅 補助金 2026</t>
        </is>
      </c>
      <c r="G7" s="5" t="inlineStr">
        <is>
          <t>コンテンツ</t>
        </is>
      </c>
      <c r="H7" s="5" t="inlineStr">
        <is>
          <t>企画中</t>
        </is>
      </c>
      <c r="I7" s="5" t="inlineStr"/>
      <c r="J7" s="5" t="inlineStr"/>
      <c r="K7" s="5" t="inlineStr"/>
    </row>
    <row r="8">
      <c r="A8" s="5" t="inlineStr">
        <is>
          <t>4月</t>
        </is>
      </c>
      <c r="B8" s="5" t="inlineStr">
        <is>
          <t>W4</t>
        </is>
      </c>
      <c r="C8" s="5" t="inlineStr">
        <is>
          <t>YouTube動画</t>
        </is>
      </c>
      <c r="D8" s="5" t="inlineStr">
        <is>
          <t>鹿児島の注目工務店取材（⑧取材系）</t>
        </is>
      </c>
      <c r="E8" s="5" t="inlineStr">
        <is>
          <t>全ペルソナ</t>
        </is>
      </c>
      <c r="F8" s="5" t="inlineStr">
        <is>
          <t>鹿児島 工務店 平屋</t>
        </is>
      </c>
      <c r="G8" s="5" t="inlineStr">
        <is>
          <t>コンテンツ</t>
        </is>
      </c>
      <c r="H8" s="5" t="inlineStr">
        <is>
          <t>企画中</t>
        </is>
      </c>
      <c r="I8" s="5" t="inlineStr"/>
      <c r="J8" s="5" t="inlineStr"/>
      <c r="K8" s="5" t="inlineStr">
        <is>
          <t>パートナー工務店</t>
        </is>
      </c>
    </row>
    <row r="9">
      <c r="A9" s="5" t="inlineStr">
        <is>
          <t>4月</t>
        </is>
      </c>
      <c r="B9" s="5" t="inlineStr">
        <is>
          <t>W4</t>
        </is>
      </c>
      <c r="C9" s="5" t="inlineStr">
        <is>
          <t>SEO記事</t>
        </is>
      </c>
      <c r="D9" s="5" t="inlineStr">
        <is>
          <t>平屋と2階建てどっちがいい？メリット・デメリット比較</t>
        </is>
      </c>
      <c r="E9" s="5" t="inlineStr">
        <is>
          <t>ペルソナ2+3</t>
        </is>
      </c>
      <c r="F9" s="5" t="inlineStr">
        <is>
          <t>平屋 2階建て 比較</t>
        </is>
      </c>
      <c r="G9" s="5" t="inlineStr">
        <is>
          <t>コンテンツ</t>
        </is>
      </c>
      <c r="H9" s="5" t="inlineStr">
        <is>
          <t>企画中</t>
        </is>
      </c>
      <c r="I9" s="5" t="inlineStr"/>
      <c r="J9" s="5" t="inlineStr"/>
      <c r="K9" s="5" t="inlineStr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</row>
  </sheetData>
  <dataValidations count="2">
    <dataValidation sqref="C2:C50" showDropDown="0" showInputMessage="0" showErrorMessage="0" allowBlank="1" type="list">
      <formula1>"YouTube動画,SEO記事,ニュース,Biz記事,Instagram,ショート動画"</formula1>
    </dataValidation>
    <dataValidation sqref="H2:H50" showDropDown="0" showInputMessage="0" showErrorMessage="0" allowBlank="1" type="list">
      <formula1>"企画中,執筆中,レビュー中,公開済"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0000"/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</cols>
  <sheetData>
    <row r="1">
      <c r="A1" s="4" t="inlineStr">
        <is>
          <t>セクション</t>
        </is>
      </c>
      <c r="B1" s="4" t="inlineStr">
        <is>
          <t>テンプレート文面</t>
        </is>
      </c>
      <c r="C1" s="4" t="inlineStr">
        <is>
          <t>カスタマイズ箇所</t>
        </is>
      </c>
    </row>
    <row r="2" ht="200" customHeight="1">
      <c r="A2" s="5" t="inlineStr">
        <is>
          <t>冒頭（動画説明）</t>
        </is>
      </c>
      <c r="B2" s="5" t="inlineStr">
        <is>
          <t>【ルームツアー】○○な平屋
鹿児島県にあります○○工務店さんの平屋でございました♪(´▽｀)
■ この家のポイント
・○○（特徴1）
・○○（特徴2）
・○○（特徴3）
■ スペック
間取り：○LDK / 延床面積：○坪 / 価格帯：○万円台
断熱等級：○ / 耐震等級：○</t>
        </is>
      </c>
      <c r="C2" s="5" t="inlineStr">
        <is>
          <t>○○部分を撮影物件に合わせて変更</t>
        </is>
      </c>
    </row>
    <row r="3" ht="200" customHeight="1">
      <c r="A3" s="5" t="inlineStr">
        <is>
          <t>ぺいほーむ紹介＋CTA</t>
        </is>
      </c>
      <c r="B3" s="5" t="inlineStr">
        <is>
          <t>━━━━━━━━━━━━━━━━━━
▼ 平屋の家づくり、無料で相談できます
━━━━━━━━━━━━━━━━━━
ぺいほーむでは、平屋を検討中の方に
✅ 無料相談（信頼できる工務店をご紹介）
✅ 資料請求（複数社のカタログを一括）
✅ 見学会予約（完成見学会の情報をお届け）
をご提供しています。
▶ 無料で相談する
https://payhome-media.com/consultation
▶ 資料請求はこちら
https://payhome-media.com/catalog
▶ AIに平屋のことを聞いてみる
https://payhome-media.com（チャットボットが24時間対応）</t>
        </is>
      </c>
      <c r="C3" s="5" t="inlineStr">
        <is>
          <t>URLは固定。変更不要</t>
        </is>
      </c>
    </row>
    <row r="4" ht="200" customHeight="1">
      <c r="A4" s="5" t="inlineStr">
        <is>
          <t>LINE・SNS導線</t>
        </is>
      </c>
      <c r="B4" s="5" t="inlineStr">
        <is>
          <t>━━━━━━━━━━━━━━━━━━
▼ ぺいほーむ公式LINE
━━━━━━━━━━━━━━━━━━
最新の見学会情報やお得な情報をお届け！
https://line.me/R/ti/p/@253gzmoh
▼ Instagram
https://www.instagram.com/pei_home/
▼ ぺいほーむ公式サイト
https://payhome-media.com</t>
        </is>
      </c>
      <c r="C4" s="5" t="inlineStr">
        <is>
          <t>SNSアカウントURL確認</t>
        </is>
      </c>
    </row>
    <row r="5" ht="200" customHeight="1">
      <c r="A5" s="5" t="inlineStr">
        <is>
          <t>工務店情報</t>
        </is>
      </c>
      <c r="B5" s="5" t="inlineStr">
        <is>
          <t>━━━━━━━━━━━━━━━━━━
▼ 今回紹介した工務店
━━━━━━━━━━━━━━━━━━
○○工務店
所在地：鹿児島県○○市○○
得意分野：平屋 / ○○ / ○○
Web：https://xxxxx
TEL：xxx-xxxx-xxxx
▶ この工務店について詳しく見る
https://payhome-media.com/builders/○○</t>
        </is>
      </c>
      <c r="C5" s="5" t="inlineStr">
        <is>
          <t>工務店名・URL・電話番号を撮影先に合わせて変更</t>
        </is>
      </c>
    </row>
    <row r="6" ht="200" customHeight="1">
      <c r="A6" s="5" t="inlineStr">
        <is>
          <t>ハッシュタグ</t>
        </is>
      </c>
      <c r="B6" s="5" t="inlineStr">
        <is>
          <t>#平屋 #ルームツアー #平屋ルームツアー #平屋間取り #平屋内見 #鹿児島 #不動産 #鹿児島ハウスメーカー #鹿児島平屋 #平屋新築 #平屋注文住宅 #マイホーム #注文住宅 #家づくり #ぺいほーむ</t>
        </is>
      </c>
      <c r="C6" s="5" t="inlineStr">
        <is>
          <t>地域名を撮影地に合わせて追加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8740C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0" customWidth="1" min="4" max="4"/>
    <col width="20" customWidth="1" min="5" max="5"/>
    <col width="35" customWidth="1" min="6" max="6"/>
  </cols>
  <sheetData>
    <row r="1">
      <c r="A1" s="1" t="inlineStr">
        <is>
          <t>ぺいほーむ 月次レビュー会議アジェンダ</t>
        </is>
      </c>
    </row>
    <row r="2">
      <c r="A2" s="2" t="inlineStr">
        <is>
          <t>開催日:</t>
        </is>
      </c>
      <c r="C2" s="2" t="inlineStr">
        <is>
          <t>参加者:</t>
        </is>
      </c>
    </row>
    <row r="4">
      <c r="A4" s="4" t="inlineStr">
        <is>
          <t>時間</t>
        </is>
      </c>
      <c r="B4" s="4" t="inlineStr">
        <is>
          <t>議題</t>
        </is>
      </c>
      <c r="C4" s="4" t="inlineStr">
        <is>
          <t>内容</t>
        </is>
      </c>
      <c r="D4" s="4" t="inlineStr">
        <is>
          <t>担当</t>
        </is>
      </c>
      <c r="E4" s="4" t="inlineStr">
        <is>
          <t>資料</t>
        </is>
      </c>
      <c r="F4" s="4" t="inlineStr">
        <is>
          <t>決定事項（会議中に記入）</t>
        </is>
      </c>
    </row>
    <row r="5">
      <c r="A5" s="5" t="inlineStr">
        <is>
          <t>5分</t>
        </is>
      </c>
      <c r="B5" s="5" t="inlineStr">
        <is>
          <t>先月の振り返り</t>
        </is>
      </c>
      <c r="C5" s="5" t="inlineStr">
        <is>
          <t>先月のアクション実施状況の確認</t>
        </is>
      </c>
      <c r="D5" s="5" t="inlineStr">
        <is>
          <t>全員</t>
        </is>
      </c>
      <c r="E5" s="5" t="inlineStr">
        <is>
          <t>前回議事録</t>
        </is>
      </c>
      <c r="F5" s="5" t="inlineStr"/>
    </row>
    <row r="6">
      <c r="A6" s="5" t="inlineStr">
        <is>
          <t>10分</t>
        </is>
      </c>
      <c r="B6" s="5" t="inlineStr">
        <is>
          <t>KPIレビュー</t>
        </is>
      </c>
      <c r="C6" s="5" t="inlineStr">
        <is>
          <t>月次KPI実績と目標比較。傾向分析</t>
        </is>
      </c>
      <c r="D6" s="5" t="inlineStr">
        <is>
          <t>PM</t>
        </is>
      </c>
      <c r="E6" s="5" t="inlineStr">
        <is>
          <t>KPI一覧シート</t>
        </is>
      </c>
      <c r="F6" s="5" t="inlineStr"/>
    </row>
    <row r="7">
      <c r="A7" s="5" t="inlineStr">
        <is>
          <t>10分</t>
        </is>
      </c>
      <c r="B7" s="5" t="inlineStr">
        <is>
          <t>営業進捗</t>
        </is>
      </c>
      <c r="C7" s="5" t="inlineStr">
        <is>
          <t>パートナー営業の進捗。新規アプローチ結果。パイプライン状況</t>
        </is>
      </c>
      <c r="D7" s="5" t="inlineStr">
        <is>
          <t>営業</t>
        </is>
      </c>
      <c r="E7" s="5" t="inlineStr">
        <is>
          <t>メール営業管理シート</t>
        </is>
      </c>
      <c r="F7" s="5" t="inlineStr"/>
    </row>
    <row r="8">
      <c r="A8" s="5" t="inlineStr">
        <is>
          <t>10分</t>
        </is>
      </c>
      <c r="B8" s="5" t="inlineStr">
        <is>
          <t>コンテンツ進捗</t>
        </is>
      </c>
      <c r="C8" s="5" t="inlineStr">
        <is>
          <t>動画・記事の制作状況。再生数・PV。コンテンツカレンダーの進捗</t>
        </is>
      </c>
      <c r="D8" s="5" t="inlineStr">
        <is>
          <t>コンテンツ</t>
        </is>
      </c>
      <c r="E8" s="5" t="inlineStr">
        <is>
          <t>コンテンツカレンダー</t>
        </is>
      </c>
      <c r="F8" s="5" t="inlineStr"/>
    </row>
    <row r="9">
      <c r="A9" s="5" t="inlineStr">
        <is>
          <t>10分</t>
        </is>
      </c>
      <c r="B9" s="5" t="inlineStr">
        <is>
          <t>掲載品質</t>
        </is>
      </c>
      <c r="C9" s="5" t="inlineStr">
        <is>
          <t>監査の進捗。リライト状況。工務店情報の更新状況</t>
        </is>
      </c>
      <c r="D9" s="5" t="inlineStr">
        <is>
          <t>コンテンツ</t>
        </is>
      </c>
      <c r="E9" s="5" t="inlineStr">
        <is>
          <t>掲載内容監査シート</t>
        </is>
      </c>
      <c r="F9" s="5" t="inlineStr"/>
    </row>
    <row r="10">
      <c r="A10" s="5" t="inlineStr">
        <is>
          <t>10分</t>
        </is>
      </c>
      <c r="B10" s="5" t="inlineStr">
        <is>
          <t>来月の計画</t>
        </is>
      </c>
      <c r="C10" s="5" t="inlineStr">
        <is>
          <t>来月の優先Todo確認。目標設定。リソース配分</t>
        </is>
      </c>
      <c r="D10" s="5" t="inlineStr">
        <is>
          <t>経営</t>
        </is>
      </c>
      <c r="E10" s="5" t="inlineStr">
        <is>
          <t>ガントチャート</t>
        </is>
      </c>
      <c r="F10" s="5" t="inlineStr"/>
    </row>
    <row r="11">
      <c r="A11" s="5" t="inlineStr">
        <is>
          <t>5分</t>
        </is>
      </c>
      <c r="B11" s="5" t="inlineStr">
        <is>
          <t>課題・懸念事項</t>
        </is>
      </c>
      <c r="C11" s="5" t="inlineStr">
        <is>
          <t>解決が必要な問題の共有と対応方針の決定</t>
        </is>
      </c>
      <c r="D11" s="5" t="inlineStr">
        <is>
          <t>全員</t>
        </is>
      </c>
      <c r="E11" s="5" t="inlineStr"/>
      <c r="F11" s="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BDEFB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四半期</t>
        </is>
      </c>
      <c r="B1" s="4" t="inlineStr">
        <is>
          <t>テーマ</t>
        </is>
      </c>
      <c r="C1" s="4" t="inlineStr">
        <is>
          <t>取得するデータ</t>
        </is>
      </c>
      <c r="D1" s="4" t="inlineStr">
        <is>
          <t>活用方法</t>
        </is>
      </c>
      <c r="E1" s="4" t="inlineStr">
        <is>
          <t>事業側で決めること</t>
        </is>
      </c>
      <c r="F1" s="4" t="inlineStr">
        <is>
          <t>エンジニアに依頼すること</t>
        </is>
      </c>
      <c r="G1" s="4" t="inlineStr">
        <is>
          <t>成果イメージ</t>
        </is>
      </c>
    </row>
    <row r="2" ht="100" customHeight="1">
      <c r="A2" s="5" t="inlineStr">
        <is>
          <t>Q2 2026
(4-6月)</t>
        </is>
      </c>
      <c r="B2" s="5" t="inlineStr">
        <is>
          <t>データを貯める</t>
        </is>
      </c>
      <c r="C2" s="5" t="inlineStr">
        <is>
          <t>ページ閲覧/動画視聴/チャットログ/お気に入り/リード流入元</t>
        </is>
      </c>
      <c r="D2" s="5" t="inlineStr">
        <is>
          <t>月次レポートで傾向を把握。「どの動画からCVが多いか」を分析</t>
        </is>
      </c>
      <c r="E2" s="5" t="inlineStr">
        <is>
          <t>KPIの優先順位/レポートの形式/確認頻度</t>
        </is>
      </c>
      <c r="F2" s="5" t="inlineStr">
        <is>
          <t>GA4カスタムイベント設定/レポート自動化</t>
        </is>
      </c>
      <c r="G2" s="5" t="inlineStr">
        <is>
          <t>月次データレポート第1号</t>
        </is>
      </c>
    </row>
    <row r="3" ht="100" customHeight="1">
      <c r="A3" s="5" t="inlineStr">
        <is>
          <t>Q3 2026
(7-9月)</t>
        </is>
      </c>
      <c r="B3" s="5" t="inlineStr">
        <is>
          <t>データを使い始める</t>
        </is>
      </c>
      <c r="C3" s="5" t="inlineStr">
        <is>
          <t>ユーザープロフィール/チャット意向抽出/閲覧傾向</t>
        </is>
      </c>
      <c r="D3" s="5" t="inlineStr">
        <is>
          <t>AIチャットの回答にデータを反映。「この人に合いそうな工務店」の推薦ロジック初期版</t>
        </is>
      </c>
      <c r="E3" s="5" t="inlineStr">
        <is>
          <t>推薦の基準（何を重視するか）/工務店の構造化データ入力</t>
        </is>
      </c>
      <c r="F3" s="5" t="inlineStr">
        <is>
          <t>推薦ロジック実装/意向抽出API</t>
        </is>
      </c>
      <c r="G3" s="5" t="inlineStr">
        <is>
          <t>AI推薦初期版のテスト</t>
        </is>
      </c>
    </row>
    <row r="4" ht="100" customHeight="1">
      <c r="A4" s="5" t="inlineStr">
        <is>
          <t>Q4 2026
(10-12月)</t>
        </is>
      </c>
      <c r="B4" s="5" t="inlineStr">
        <is>
          <t>データで提案する</t>
        </is>
      </c>
      <c r="C4" s="5" t="inlineStr">
        <is>
          <t>意向データ付きリード/行動スコアリング/成約データ</t>
        </is>
      </c>
      <c r="D4" s="5" t="inlineStr">
        <is>
          <t>工務店に「この人は○○に関心があり、温度感は高い」と伝える。商談前要約の初期版</t>
        </is>
      </c>
      <c r="E4" s="5" t="inlineStr">
        <is>
          <t>リードの価格設定（データ付きリード=高単価）/工務店へのレポート内容</t>
        </is>
      </c>
      <c r="F4" s="5" t="inlineStr">
        <is>
          <t>商談前要約生成/スコアリングUI</t>
        </is>
      </c>
      <c r="G4" s="5" t="inlineStr">
        <is>
          <t>意向データ付きリードの初回提供</t>
        </is>
      </c>
    </row>
    <row r="5" ht="100" customHeight="1">
      <c r="A5" s="5" t="inlineStr">
        <is>
          <t>2027年
Q1以降</t>
        </is>
      </c>
      <c r="B5" s="5" t="inlineStr">
        <is>
          <t>AIが進化する</t>
        </is>
      </c>
      <c r="C5" s="5" t="inlineStr">
        <is>
          <t>全データの統合分析/成約パターン/next best action</t>
        </is>
      </c>
      <c r="D5" s="5" t="inlineStr">
        <is>
          <t>AI住宅コンシェルジュ本格稼働。営業支援SaaSの初期版</t>
        </is>
      </c>
      <c r="E5" s="5" t="inlineStr">
        <is>
          <t>SaaS化の価格/ターゲット/営業戦略</t>
        </is>
      </c>
      <c r="F5" s="5" t="inlineStr">
        <is>
          <t>AIコンシェルジュ高度化/SaaS UI</t>
        </is>
      </c>
      <c r="G5" s="5" t="inlineStr">
        <is>
          <t>AI営業支援の初期リリース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8740C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s="32" t="inlineStr">
        <is>
          <t>請求書</t>
        </is>
      </c>
    </row>
    <row r="3">
      <c r="A3" s="27" t="inlineStr">
        <is>
          <t>請求先:</t>
        </is>
      </c>
      <c r="B3" s="2" t="inlineStr">
        <is>
          <t>○○工務店 御中</t>
        </is>
      </c>
      <c r="E3" s="27" t="inlineStr">
        <is>
          <t>株式会社wazeka</t>
        </is>
      </c>
    </row>
    <row r="4">
      <c r="A4" s="27" t="inlineStr">
        <is>
          <t>請求日:</t>
        </is>
      </c>
      <c r="B4" s="2" t="inlineStr">
        <is>
          <t>2026年○月○日</t>
        </is>
      </c>
      <c r="E4" s="2" t="inlineStr">
        <is>
          <t>鹿児島県鹿児島市○○</t>
        </is>
      </c>
    </row>
    <row r="5">
      <c r="A5" s="27" t="inlineStr">
        <is>
          <t>お支払期限:</t>
        </is>
      </c>
      <c r="B5" s="2" t="inlineStr">
        <is>
          <t>2026年○月末日</t>
        </is>
      </c>
      <c r="E5" s="2" t="inlineStr">
        <is>
          <t>TEL: xxx-xxxx-xxxx</t>
        </is>
      </c>
    </row>
    <row r="6">
      <c r="E6" s="2" t="inlineStr">
        <is>
          <t>登録番号: T○○○○○○○○○○○○○</t>
        </is>
      </c>
    </row>
    <row r="8">
      <c r="A8" s="4" t="inlineStr">
        <is>
          <t>No.</t>
        </is>
      </c>
      <c r="B8" s="4" t="inlineStr">
        <is>
          <t>品目</t>
        </is>
      </c>
      <c r="C8" s="4" t="inlineStr">
        <is>
          <t>数量</t>
        </is>
      </c>
      <c r="D8" s="4" t="inlineStr">
        <is>
          <t>単価</t>
        </is>
      </c>
      <c r="E8" s="4" t="inlineStr">
        <is>
          <t>金額</t>
        </is>
      </c>
      <c r="F8" s="4" t="inlineStr">
        <is>
          <t>備考</t>
        </is>
      </c>
    </row>
    <row r="9">
      <c r="A9" s="5" t="n">
        <v>1</v>
      </c>
      <c r="B9" s="5" t="inlineStr">
        <is>
          <t>プラットフォーム掲載料（○月分）</t>
        </is>
      </c>
      <c r="C9" s="5" t="n">
        <v>1</v>
      </c>
      <c r="D9" s="5" t="inlineStr"/>
      <c r="E9" s="5">
        <f>C9*D9</f>
        <v/>
      </c>
      <c r="F9" s="5" t="inlineStr">
        <is>
          <t>スタンダードプラン</t>
        </is>
      </c>
    </row>
    <row r="10">
      <c r="A10" s="5" t="n">
        <v>2</v>
      </c>
      <c r="B10" s="5" t="inlineStr">
        <is>
          <t>ルームツアー動画撮影・制作</t>
        </is>
      </c>
      <c r="C10" s="5" t="n">
        <v>0</v>
      </c>
      <c r="D10" s="5" t="inlineStr"/>
      <c r="E10" s="5">
        <f>C10*D10</f>
        <v/>
      </c>
      <c r="F10" s="5" t="inlineStr"/>
    </row>
    <row r="11">
      <c r="A11" s="5" t="n">
        <v>3</v>
      </c>
      <c r="B11" s="5" t="inlineStr">
        <is>
          <t>リード送客費（○件×○円）</t>
        </is>
      </c>
      <c r="C11" s="5" t="n">
        <v>0</v>
      </c>
      <c r="D11" s="5" t="inlineStr"/>
      <c r="E11" s="5">
        <f>C11*D11</f>
        <v/>
      </c>
      <c r="F11" s="5" t="inlineStr"/>
    </row>
    <row r="12">
      <c r="A12" s="5" t="inlineStr"/>
      <c r="B12" s="5" t="inlineStr"/>
      <c r="C12" s="5" t="inlineStr"/>
      <c r="D12" s="5" t="inlineStr">
        <is>
          <t>小計</t>
        </is>
      </c>
      <c r="E12" s="5">
        <f>SUM(E9:E11)</f>
        <v/>
      </c>
      <c r="F12" s="5" t="inlineStr"/>
    </row>
    <row r="13">
      <c r="A13" s="5" t="inlineStr"/>
      <c r="B13" s="5" t="inlineStr"/>
      <c r="C13" s="5" t="inlineStr"/>
      <c r="D13" s="5" t="inlineStr">
        <is>
          <t>消費税（10%）</t>
        </is>
      </c>
      <c r="E13" s="5">
        <f>E12*0.1</f>
        <v/>
      </c>
      <c r="F13" s="5" t="inlineStr"/>
    </row>
    <row r="14">
      <c r="A14" s="5" t="inlineStr"/>
      <c r="B14" s="5" t="inlineStr"/>
      <c r="C14" s="5" t="inlineStr"/>
      <c r="D14" s="5" t="inlineStr">
        <is>
          <t>合計</t>
        </is>
      </c>
      <c r="E14" s="5">
        <f>E12+E13</f>
        <v/>
      </c>
      <c r="F14" s="5" t="inlineStr"/>
    </row>
    <row r="16">
      <c r="A16" s="27" t="inlineStr">
        <is>
          <t>お振込先</t>
        </is>
      </c>
    </row>
    <row r="17">
      <c r="A17" s="2" t="inlineStr">
        <is>
          <t>○○銀行 ○○支店 普通 ○○○○○○○ カ）ワゼカ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F9C4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60" customWidth="1" min="4" max="4"/>
    <col width="25" customWidth="1" min="5" max="5"/>
    <col width="8" customWidth="1" min="6" max="6"/>
    <col width="8" customWidth="1" min="7" max="7"/>
  </cols>
  <sheetData>
    <row r="1">
      <c r="A1" s="4" t="inlineStr">
        <is>
          <t>記事No.</t>
        </is>
      </c>
      <c r="B1" s="4" t="inlineStr">
        <is>
          <t>タイトル案</t>
        </is>
      </c>
      <c r="C1" s="4" t="inlineStr">
        <is>
          <t>ターゲット</t>
        </is>
      </c>
      <c r="D1" s="4" t="inlineStr">
        <is>
          <t>構成（H2見出し案）</t>
        </is>
      </c>
      <c r="E1" s="4" t="inlineStr">
        <is>
          <t>SEOキーワード</t>
        </is>
      </c>
      <c r="F1" s="4" t="inlineStr">
        <is>
          <t>優先度</t>
        </is>
      </c>
      <c r="G1" s="4" t="inlineStr">
        <is>
          <t>ステータス</t>
        </is>
      </c>
    </row>
    <row r="2">
      <c r="A2" s="5" t="inlineStr">
        <is>
          <t>比較-01</t>
        </is>
      </c>
      <c r="B2" s="5" t="inlineStr">
        <is>
          <t>【2026年版】鹿児島で平屋が得意な工務店10選｜特徴・価格帯・口コミを比較</t>
        </is>
      </c>
      <c r="C2" s="5" t="inlineStr">
        <is>
          <t>ペルソナ1+2</t>
        </is>
      </c>
      <c r="D2" s="5" t="inlineStr">
        <is>
          <t>H2: 鹿児島の平屋市場の現状 / H2: 工務店選びの5つのポイント / H2: 工務店10社の比較表 / H2: タイプ別おすすめ（コスパ重視/デザイン重視/性能重視） / H2: まとめ</t>
        </is>
      </c>
      <c r="E2" s="5" t="inlineStr">
        <is>
          <t>鹿児島 工務店 平屋 おすすめ</t>
        </is>
      </c>
      <c r="F2" s="5" t="inlineStr">
        <is>
          <t>高</t>
        </is>
      </c>
      <c r="G2" s="5" t="inlineStr">
        <is>
          <t>企画中</t>
        </is>
      </c>
    </row>
    <row r="3">
      <c r="A3" s="5" t="inlineStr">
        <is>
          <t>比較-02</t>
        </is>
      </c>
      <c r="B3" s="5" t="inlineStr">
        <is>
          <t>平屋vs2階建て｜メリット・デメリットを徹底比較【コスト・間取り・老後】</t>
        </is>
      </c>
      <c r="C3" s="5" t="inlineStr">
        <is>
          <t>ペルソナ2+3</t>
        </is>
      </c>
      <c r="D3" s="5" t="inlineStr">
        <is>
          <t>H2: 平屋のメリット5つ / H2: 平屋のデメリット3つ / H2: 2階建てとのコスト比較 / H2: 老後を見据えたらどっち？ / H2: こんな人は平屋がおすすめ</t>
        </is>
      </c>
      <c r="E3" s="5" t="inlineStr">
        <is>
          <t>平屋 2階建て 比較 メリット</t>
        </is>
      </c>
      <c r="F3" s="5" t="inlineStr">
        <is>
          <t>高</t>
        </is>
      </c>
      <c r="G3" s="5" t="inlineStr">
        <is>
          <t>企画中</t>
        </is>
      </c>
    </row>
    <row r="4">
      <c r="A4" s="5" t="inlineStr">
        <is>
          <t>比較-03</t>
        </is>
      </c>
      <c r="B4" s="5" t="inlineStr">
        <is>
          <t>平屋の断熱等級4・5・6・7の違い｜鹿児島で必要なレベルはどれ？</t>
        </is>
      </c>
      <c r="C4" s="5" t="inlineStr">
        <is>
          <t>ペルソナ1+2</t>
        </is>
      </c>
      <c r="D4" s="5" t="inlineStr">
        <is>
          <t>H2: 断熱等級とは / H2: 等級4〜7の違い / H2: 鹿児島の気候と断熱 / H2: UA値の目安 / H2: 断熱等級別の費用差 / H2: おすすめの等級</t>
        </is>
      </c>
      <c r="E4" s="5" t="inlineStr">
        <is>
          <t>断熱等級 平屋 鹿児島 UA値</t>
        </is>
      </c>
      <c r="F4" s="5" t="inlineStr">
        <is>
          <t>中</t>
        </is>
      </c>
      <c r="G4" s="5" t="inlineStr">
        <is>
          <t>企画中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2026-03-21T22:23:25Z</dcterms:created>
  <dcterms:modified xmlns:dcterms="http://purl.org/dc/terms/" xmlns:xsi="http://www.w3.org/2001/XMLSchema-instance" xsi:type="dcterms:W3CDTF">2026-03-21T23:29:08Z</dcterms:modified>
</cp:coreProperties>
</file>