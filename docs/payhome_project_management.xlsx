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ダッシュボード" sheetId="1" state="visible" r:id="rId1"/>
    <sheet xmlns:r="http://schemas.openxmlformats.org/officeDocument/2006/relationships" name="ガントチャート" sheetId="2" state="visible" r:id="rId2"/>
    <sheet xmlns:r="http://schemas.openxmlformats.org/officeDocument/2006/relationships" name="担当別Todo" sheetId="3" state="visible" r:id="rId3"/>
    <sheet xmlns:r="http://schemas.openxmlformats.org/officeDocument/2006/relationships" name="Todo詳細" sheetId="4" state="visible" r:id="rId4"/>
    <sheet xmlns:r="http://schemas.openxmlformats.org/officeDocument/2006/relationships" name="追加Todo受付" sheetId="5" state="visible" r:id="rId5"/>
    <sheet xmlns:r="http://schemas.openxmlformats.org/officeDocument/2006/relationships" name="使い方ガイド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E8740C"/>
      <sz val="14"/>
    </font>
    <font>
      <name val="Arial"/>
      <sz val="9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E8740C"/>
      </patternFill>
    </fill>
    <fill>
      <patternFill patternType="solid">
        <fgColor rgb="00C8E6C9"/>
      </patternFill>
    </fill>
    <fill>
      <patternFill patternType="solid">
        <fgColor rgb="003D2200"/>
      </patternFill>
    </fill>
    <fill>
      <patternFill patternType="solid">
        <fgColor rgb="00FFE0B2"/>
      </patternFill>
    </fill>
    <fill>
      <patternFill patternType="solid">
        <fgColor rgb="00F5F5F5"/>
      </patternFill>
    </fill>
    <fill>
      <patternFill patternType="solid">
        <fgColor rgb="00FFF9C4"/>
      </patternFill>
    </fill>
    <fill>
      <patternFill patternType="solid">
        <fgColor rgb="00BBDEFB"/>
      </patternFill>
    </fill>
    <fill>
      <patternFill patternType="solid">
        <fgColor rgb="00EEEEEE"/>
      </patternFill>
    </fill>
    <fill>
      <patternFill patternType="solid">
        <fgColor rgb="00E1BEE7"/>
      </patternFill>
    </fill>
    <fill>
      <patternFill patternType="solid">
        <fgColor rgb="00FF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9" fontId="2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9" fontId="5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4" fillId="4" borderId="0" applyAlignment="1" pivotButton="0" quotePrefix="0" xfId="0">
      <alignment vertical="center"/>
    </xf>
    <xf numFmtId="0" fontId="2" fillId="5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0" borderId="1" pivotButton="0" quotePrefix="0" xfId="0"/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740C"/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8" customWidth="1" min="3" max="3"/>
    <col width="8" customWidth="1" min="4" max="4"/>
    <col width="8" customWidth="1" min="5" max="5"/>
    <col width="10" customWidth="1" min="6" max="6"/>
    <col width="15" customWidth="1" min="7" max="7"/>
    <col width="15" customWidth="1" min="8" max="8"/>
  </cols>
  <sheetData>
    <row r="1">
      <c r="A1" s="1" t="inlineStr">
        <is>
          <t>ぺいほーむ 事業推進管理シート</t>
        </is>
      </c>
    </row>
    <row r="2">
      <c r="A2" s="2" t="inlineStr">
        <is>
          <t>最終更新: 2026-03-22</t>
        </is>
      </c>
    </row>
    <row r="3"/>
    <row r="4">
      <c r="A4" s="3" t="inlineStr">
        <is>
          <t>進捗サマリー</t>
        </is>
      </c>
    </row>
    <row r="5">
      <c r="A5" s="4" t="inlineStr">
        <is>
          <t>カテゴリ</t>
        </is>
      </c>
      <c r="B5" s="4" t="inlineStr">
        <is>
          <t>全タスク数</t>
        </is>
      </c>
      <c r="C5" s="4" t="inlineStr">
        <is>
          <t>完了</t>
        </is>
      </c>
      <c r="D5" s="4" t="inlineStr">
        <is>
          <t>進行中</t>
        </is>
      </c>
      <c r="E5" s="4" t="inlineStr">
        <is>
          <t>未着手</t>
        </is>
      </c>
      <c r="F5" s="4" t="inlineStr">
        <is>
          <t>完了率</t>
        </is>
      </c>
      <c r="G5" s="4" t="inlineStr">
        <is>
          <t>担当</t>
        </is>
      </c>
    </row>
    <row r="6">
      <c r="A6" s="5" t="inlineStr">
        <is>
          <t>事業戦略・収益化</t>
        </is>
      </c>
      <c r="B6" s="5">
        <f>COUNTIF('Todo詳細'!B:B,"収益")+COUNTIF('Todo詳細'!B:B,"戦略")</f>
        <v/>
      </c>
      <c r="C6" s="5">
        <f>COUNTIFS('Todo詳細'!B:B,"収益",'Todo詳細'!K:K,"完了")+COUNTIFS('Todo詳細'!B:B,"戦略",'Todo詳細'!K:K,"完了")</f>
        <v/>
      </c>
      <c r="D6" s="5">
        <f>COUNTIFS('Todo詳細'!B:B,"収益",'Todo詳細'!K:K,"進行中")+COUNTIFS('Todo詳細'!B:B,"戦略",'Todo詳細'!K:K,"進行中")</f>
        <v/>
      </c>
      <c r="E6" s="5">
        <f>COUNTIFS('Todo詳細'!B:B,"収益",'Todo詳細'!K:K,"未着手")+COUNTIFS('Todo詳細'!B:B,"戦略",'Todo詳細'!K:K,"未着手")</f>
        <v/>
      </c>
      <c r="F6" s="6">
        <f>IF(B6=0,"-",C6/B6)</f>
        <v/>
      </c>
      <c r="G6" s="5" t="inlineStr">
        <is>
          <t>経営</t>
        </is>
      </c>
    </row>
    <row r="7">
      <c r="A7" s="5" t="inlineStr">
        <is>
          <t>営業・アライアンス</t>
        </is>
      </c>
      <c r="B7" s="5">
        <f>COUNTIF('Todo詳細'!B:B,"営業")</f>
        <v/>
      </c>
      <c r="C7" s="5">
        <f>COUNTIFS('Todo詳細'!B:B,"営業",'Todo詳細'!K:K,"完了")</f>
        <v/>
      </c>
      <c r="D7" s="5">
        <f>COUNTIFS('Todo詳細'!B:B,"営業",'Todo詳細'!K:K,"進行中")</f>
        <v/>
      </c>
      <c r="E7" s="5">
        <f>COUNTIFS('Todo詳細'!B:B,"営業",'Todo詳細'!K:K,"未着手")</f>
        <v/>
      </c>
      <c r="F7" s="6">
        <f>IF(B7=0,"-",C7/B7)</f>
        <v/>
      </c>
      <c r="G7" s="5" t="inlineStr">
        <is>
          <t>経営/営業</t>
        </is>
      </c>
    </row>
    <row r="8">
      <c r="A8" s="5" t="inlineStr">
        <is>
          <t>掲載品質・リライト</t>
        </is>
      </c>
      <c r="B8" s="5">
        <f>COUNTIF('Todo詳細'!B:B,"品質")</f>
        <v/>
      </c>
      <c r="C8" s="5">
        <f>COUNTIFS('Todo詳細'!B:B,"品質",'Todo詳細'!K:K,"完了")</f>
        <v/>
      </c>
      <c r="D8" s="5">
        <f>COUNTIFS('Todo詳細'!B:B,"品質",'Todo詳細'!K:K,"進行中")</f>
        <v/>
      </c>
      <c r="E8" s="5">
        <f>COUNTIFS('Todo詳細'!B:B,"品質",'Todo詳細'!K:K,"未着手")</f>
        <v/>
      </c>
      <c r="F8" s="6">
        <f>IF(B8=0,"-",C8/B8)</f>
        <v/>
      </c>
      <c r="G8" s="5" t="inlineStr">
        <is>
          <t>コンテンツ</t>
        </is>
      </c>
    </row>
    <row r="9">
      <c r="A9" s="5" t="inlineStr">
        <is>
          <t>集客・マーケティング</t>
        </is>
      </c>
      <c r="B9" s="5">
        <f>COUNTIF('Todo詳細'!B:B,"集客")</f>
        <v/>
      </c>
      <c r="C9" s="5">
        <f>COUNTIFS('Todo詳細'!B:B,"集客",'Todo詳細'!K:K,"完了")</f>
        <v/>
      </c>
      <c r="D9" s="5">
        <f>COUNTIFS('Todo詳細'!B:B,"集客",'Todo詳細'!K:K,"進行中")</f>
        <v/>
      </c>
      <c r="E9" s="5">
        <f>COUNTIFS('Todo詳細'!B:B,"集客",'Todo詳細'!K:K,"未着手")</f>
        <v/>
      </c>
      <c r="F9" s="6">
        <f>IF(B9=0,"-",C9/B9)</f>
        <v/>
      </c>
      <c r="G9" s="5" t="inlineStr">
        <is>
          <t>マーケ</t>
        </is>
      </c>
    </row>
    <row r="10">
      <c r="A10" s="5" t="inlineStr">
        <is>
          <t>オペレーション</t>
        </is>
      </c>
      <c r="B10" s="5">
        <f>COUNTIF('Todo詳細'!B:B,"オペ")</f>
        <v/>
      </c>
      <c r="C10" s="5">
        <f>COUNTIFS('Todo詳細'!B:B,"オペ",'Todo詳細'!K:K,"完了")</f>
        <v/>
      </c>
      <c r="D10" s="5">
        <f>COUNTIFS('Todo詳細'!B:B,"オペ",'Todo詳細'!K:K,"進行中")</f>
        <v/>
      </c>
      <c r="E10" s="5">
        <f>COUNTIFS('Todo詳細'!B:B,"オペ",'Todo詳細'!K:K,"未着手")</f>
        <v/>
      </c>
      <c r="F10" s="6">
        <f>IF(B10=0,"-",C10/B10)</f>
        <v/>
      </c>
      <c r="G10" s="5" t="inlineStr">
        <is>
          <t>CS/経営</t>
        </is>
      </c>
    </row>
    <row r="11">
      <c r="A11" s="5" t="inlineStr">
        <is>
          <t>KPI・計測</t>
        </is>
      </c>
      <c r="B11" s="5">
        <f>COUNTIF('Todo詳細'!B:B,"計測")+COUNTIF('Todo詳細'!B:B,"データ")+COUNTIF('Todo詳細'!B:B,"CV")</f>
        <v/>
      </c>
      <c r="C11" s="5">
        <f>COUNTIFS('Todo詳細'!B:B,"計測",'Todo詳細'!K:K,"完了")+COUNTIFS('Todo詳細'!B:B,"データ",'Todo詳細'!K:K,"完了")+COUNTIFS('Todo詳細'!B:B,"CV",'Todo詳細'!K:K,"完了")</f>
        <v/>
      </c>
      <c r="D11" s="5">
        <f>COUNTIFS('Todo詳細'!B:B,"計測",'Todo詳細'!K:K,"進行中")+COUNTIFS('Todo詳細'!B:B,"データ",'Todo詳細'!K:K,"進行中")+COUNTIFS('Todo詳細'!B:B,"CV",'Todo詳細'!K:K,"進行中")</f>
        <v/>
      </c>
      <c r="E11" s="5">
        <f>COUNTIFS('Todo詳細'!B:B,"計測",'Todo詳細'!K:K,"未着手")+COUNTIFS('Todo詳細'!B:B,"データ",'Todo詳細'!K:K,"未着手")+COUNTIFS('Todo詳細'!B:B,"CV",'Todo詳細'!K:K,"未着手")</f>
        <v/>
      </c>
      <c r="F11" s="6">
        <f>IF(B11=0,"-",C11/B11)</f>
        <v/>
      </c>
      <c r="G11" s="5" t="inlineStr">
        <is>
          <t>PM</t>
        </is>
      </c>
    </row>
    <row r="12">
      <c r="A12" s="5" t="inlineStr">
        <is>
          <t>コンテンツ制作</t>
        </is>
      </c>
      <c r="B12" s="5">
        <f>COUNTIF('Todo詳細'!B:B,"コンテンツ")</f>
        <v/>
      </c>
      <c r="C12" s="5">
        <f>COUNTIFS('Todo詳細'!B:B,"コンテンツ",'Todo詳細'!K:K,"完了")</f>
        <v/>
      </c>
      <c r="D12" s="5">
        <f>COUNTIFS('Todo詳細'!B:B,"コンテンツ",'Todo詳細'!K:K,"進行中")</f>
        <v/>
      </c>
      <c r="E12" s="5">
        <f>COUNTIFS('Todo詳細'!B:B,"コンテンツ",'Todo詳細'!K:K,"未着手")</f>
        <v/>
      </c>
      <c r="F12" s="6">
        <f>IF(B12=0,"-",C12/B12)</f>
        <v/>
      </c>
      <c r="G12" s="5" t="inlineStr">
        <is>
          <t>コンテンツ</t>
        </is>
      </c>
    </row>
    <row r="13">
      <c r="A13" s="7" t="inlineStr">
        <is>
          <t>合計</t>
        </is>
      </c>
      <c r="B13" s="7">
        <f>SUM(B6:B12)</f>
        <v/>
      </c>
      <c r="C13" s="7">
        <f>SUM(C6:C12)</f>
        <v/>
      </c>
      <c r="D13" s="7">
        <f>SUM(D6:D12)</f>
        <v/>
      </c>
      <c r="E13" s="7">
        <f>SUM(E6:E12)</f>
        <v/>
      </c>
      <c r="F13" s="8">
        <f>IF(B13=0,"-",C13/B13)</f>
        <v/>
      </c>
      <c r="G13" s="7" t="inlineStr">
        <is>
          <t>-</t>
        </is>
      </c>
    </row>
    <row r="14"/>
    <row r="15">
      <c r="A15" s="3" t="inlineStr">
        <is>
          <t>直近マイルストーン</t>
        </is>
      </c>
    </row>
    <row r="16">
      <c r="A16" s="4" t="inlineStr">
        <is>
          <t>マイルストーン</t>
        </is>
      </c>
      <c r="B16" s="4" t="inlineStr">
        <is>
          <t>目標日</t>
        </is>
      </c>
      <c r="C16" s="4" t="inlineStr">
        <is>
          <t>状態</t>
        </is>
      </c>
      <c r="D16" s="4" t="inlineStr">
        <is>
          <t>担当</t>
        </is>
      </c>
      <c r="E16" s="4" t="inlineStr">
        <is>
          <t>備考</t>
        </is>
      </c>
    </row>
    <row r="17">
      <c r="A17" s="5" t="inlineStr">
        <is>
          <t>営業提案書 完成</t>
        </is>
      </c>
      <c r="B17" s="5" t="inlineStr">
        <is>
          <t>2026-04-01</t>
        </is>
      </c>
      <c r="C17" s="9" t="inlineStr">
        <is>
          <t>完了</t>
        </is>
      </c>
      <c r="D17" s="5" t="inlineStr">
        <is>
          <t>経営</t>
        </is>
      </c>
      <c r="E17" s="5" t="n"/>
    </row>
    <row r="18">
      <c r="A18" s="5" t="inlineStr">
        <is>
          <t>GA4計測 稼働開始</t>
        </is>
      </c>
      <c r="B18" s="5" t="inlineStr">
        <is>
          <t>2026-04-01</t>
        </is>
      </c>
      <c r="C18" s="5" t="inlineStr">
        <is>
          <t>未着手</t>
        </is>
      </c>
      <c r="D18" s="5" t="inlineStr">
        <is>
          <t>PM/エンジニア</t>
        </is>
      </c>
      <c r="E18" s="5" t="n"/>
    </row>
    <row r="19">
      <c r="A19" s="5" t="inlineStr">
        <is>
          <t>初期パートナー1社 獲得</t>
        </is>
      </c>
      <c r="B19" s="5" t="inlineStr">
        <is>
          <t>2026-04-15</t>
        </is>
      </c>
      <c r="C19" s="5" t="inlineStr">
        <is>
          <t>未着手</t>
        </is>
      </c>
      <c r="D19" s="5" t="inlineStr">
        <is>
          <t>経営/営業</t>
        </is>
      </c>
      <c r="E19" s="5" t="inlineStr">
        <is>
          <t>最重要</t>
        </is>
      </c>
    </row>
    <row r="20">
      <c r="A20" s="5" t="inlineStr">
        <is>
          <t>掲載品質監査 完了</t>
        </is>
      </c>
      <c r="B20" s="5" t="inlineStr">
        <is>
          <t>2026-04-07</t>
        </is>
      </c>
      <c r="C20" s="9" t="inlineStr">
        <is>
          <t>完了</t>
        </is>
      </c>
      <c r="D20" s="5" t="inlineStr">
        <is>
          <t>コンテンツ</t>
        </is>
      </c>
      <c r="E20" s="5" t="n"/>
    </row>
    <row r="21">
      <c r="A21" s="5" t="inlineStr">
        <is>
          <t>週次KPIレポート 開始</t>
        </is>
      </c>
      <c r="B21" s="5" t="inlineStr">
        <is>
          <t>2026-04-07</t>
        </is>
      </c>
      <c r="C21" s="9" t="inlineStr">
        <is>
          <t>完了</t>
        </is>
      </c>
      <c r="D21" s="5" t="inlineStr">
        <is>
          <t>PM</t>
        </is>
      </c>
      <c r="E21" s="5" t="n"/>
    </row>
    <row r="22">
      <c r="A22" s="5" t="inlineStr">
        <is>
          <t>パートナー3社 達成</t>
        </is>
      </c>
      <c r="B22" s="5" t="inlineStr">
        <is>
          <t>2026-05-15</t>
        </is>
      </c>
      <c r="C22" s="5" t="inlineStr">
        <is>
          <t>未着手</t>
        </is>
      </c>
      <c r="D22" s="5" t="inlineStr">
        <is>
          <t>営業</t>
        </is>
      </c>
      <c r="E22" s="5" t="n"/>
    </row>
    <row r="23">
      <c r="A23" s="5" t="inlineStr">
        <is>
          <t>月次売上 発生</t>
        </is>
      </c>
      <c r="B23" s="5" t="inlineStr">
        <is>
          <t>2026-06-15</t>
        </is>
      </c>
      <c r="C23" s="5" t="inlineStr">
        <is>
          <t>未着手</t>
        </is>
      </c>
      <c r="D23" s="5" t="inlineStr">
        <is>
          <t>経営</t>
        </is>
      </c>
      <c r="E23" s="5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/>
  </sheetPr>
  <dimension ref="A1:V44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30" customWidth="1" min="4" max="4"/>
    <col width="7" customWidth="1" min="5" max="5"/>
    <col width="7" customWidth="1" min="6" max="6"/>
    <col width="5" customWidth="1" min="7" max="7"/>
    <col width="8" customWidth="1" min="8" max="8"/>
    <col width="6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>
      <c r="A1" s="4" t="inlineStr">
        <is>
          <t>ID</t>
        </is>
      </c>
      <c r="B1" s="4" t="inlineStr">
        <is>
          <t>担当</t>
        </is>
      </c>
      <c r="C1" s="4" t="inlineStr">
        <is>
          <t>カテゴリ</t>
        </is>
      </c>
      <c r="D1" s="4" t="inlineStr">
        <is>
          <t>タスク名</t>
        </is>
      </c>
      <c r="E1" s="4" t="inlineStr">
        <is>
          <t>開始日</t>
        </is>
      </c>
      <c r="F1" s="4" t="inlineStr">
        <is>
          <t>終了日</t>
        </is>
      </c>
      <c r="G1" s="4" t="inlineStr">
        <is>
          <t>日数</t>
        </is>
      </c>
      <c r="H1" s="4" t="inlineStr">
        <is>
          <t>ステータス</t>
        </is>
      </c>
      <c r="I1" s="4" t="inlineStr">
        <is>
          <t>進捗%</t>
        </is>
      </c>
      <c r="J1" s="4" t="inlineStr">
        <is>
          <t>W1
03/24</t>
        </is>
      </c>
      <c r="K1" s="4" t="inlineStr">
        <is>
          <t>W2
03/31</t>
        </is>
      </c>
      <c r="L1" s="4" t="inlineStr">
        <is>
          <t>W3
04/07</t>
        </is>
      </c>
      <c r="M1" s="4" t="inlineStr">
        <is>
          <t>W4
04/14</t>
        </is>
      </c>
      <c r="N1" s="4" t="inlineStr">
        <is>
          <t>W5
04/21</t>
        </is>
      </c>
      <c r="O1" s="4" t="inlineStr">
        <is>
          <t>W6
04/28</t>
        </is>
      </c>
      <c r="P1" s="4" t="inlineStr">
        <is>
          <t>W7
05/05</t>
        </is>
      </c>
      <c r="Q1" s="4" t="inlineStr">
        <is>
          <t>W8
05/12</t>
        </is>
      </c>
      <c r="R1" s="4" t="inlineStr">
        <is>
          <t>W9
05/19</t>
        </is>
      </c>
      <c r="S1" s="4" t="inlineStr">
        <is>
          <t>W10
05/26</t>
        </is>
      </c>
      <c r="T1" s="4" t="inlineStr">
        <is>
          <t>W11
06/02</t>
        </is>
      </c>
      <c r="U1" s="4" t="inlineStr">
        <is>
          <t>W12
06/09</t>
        </is>
      </c>
    </row>
    <row r="2">
      <c r="A2" s="10" t="inlineStr">
        <is>
          <t>【Month 1: 基盤固め・営業開始】</t>
        </is>
      </c>
    </row>
    <row r="3">
      <c r="A3" s="5" t="inlineStr">
        <is>
          <t>T-06</t>
        </is>
      </c>
      <c r="B3" s="11" t="inlineStr">
        <is>
          <t>経営</t>
        </is>
      </c>
      <c r="C3" s="5" t="inlineStr">
        <is>
          <t>戦略</t>
        </is>
      </c>
      <c r="D3" s="5" t="inlineStr">
        <is>
          <t>エレベーターピッチ作成</t>
        </is>
      </c>
      <c r="E3" s="5" t="inlineStr">
        <is>
          <t>03/24</t>
        </is>
      </c>
      <c r="F3" s="5" t="inlineStr">
        <is>
          <t>03/28</t>
        </is>
      </c>
      <c r="G3" s="5" t="n">
        <v>5</v>
      </c>
      <c r="H3" s="9" t="inlineStr">
        <is>
          <t>完了</t>
        </is>
      </c>
      <c r="I3" s="6" t="n">
        <v>1</v>
      </c>
      <c r="J3" s="12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5" t="n"/>
    </row>
    <row r="4">
      <c r="A4" s="5" t="inlineStr">
        <is>
          <t>T-07</t>
        </is>
      </c>
      <c r="B4" s="11" t="inlineStr">
        <is>
          <t>経営</t>
        </is>
      </c>
      <c r="C4" s="5" t="inlineStr">
        <is>
          <t>営業</t>
        </is>
      </c>
      <c r="D4" s="5" t="inlineStr">
        <is>
          <t>営業提案書 初稿作成</t>
        </is>
      </c>
      <c r="E4" s="5" t="inlineStr">
        <is>
          <t>03/24</t>
        </is>
      </c>
      <c r="F4" s="5" t="inlineStr">
        <is>
          <t>04/04</t>
        </is>
      </c>
      <c r="G4" s="5" t="n">
        <v>10</v>
      </c>
      <c r="H4" s="9" t="inlineStr">
        <is>
          <t>完了</t>
        </is>
      </c>
      <c r="I4" s="6" t="n">
        <v>1</v>
      </c>
      <c r="J4" s="12" t="n"/>
      <c r="K4" s="12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5" t="n"/>
    </row>
    <row r="5">
      <c r="A5" s="5" t="inlineStr">
        <is>
          <t>T-25</t>
        </is>
      </c>
      <c r="B5" s="14" t="inlineStr">
        <is>
          <t>コンテンツ</t>
        </is>
      </c>
      <c r="C5" s="5" t="inlineStr">
        <is>
          <t>品質</t>
        </is>
      </c>
      <c r="D5" s="5" t="inlineStr">
        <is>
          <t>掲載基準・フォーマット策定</t>
        </is>
      </c>
      <c r="E5" s="5" t="inlineStr">
        <is>
          <t>03/24</t>
        </is>
      </c>
      <c r="F5" s="5" t="inlineStr">
        <is>
          <t>03/31</t>
        </is>
      </c>
      <c r="G5" s="5" t="n">
        <v>7</v>
      </c>
      <c r="H5" s="9" t="inlineStr">
        <is>
          <t>完了</t>
        </is>
      </c>
      <c r="I5" s="6" t="n">
        <v>1</v>
      </c>
      <c r="J5" s="12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5" t="n"/>
    </row>
    <row r="6">
      <c r="A6" s="5" t="inlineStr">
        <is>
          <t>T-09</t>
        </is>
      </c>
      <c r="B6" s="15" t="inlineStr">
        <is>
          <t>PM</t>
        </is>
      </c>
      <c r="C6" s="5" t="inlineStr">
        <is>
          <t>計測</t>
        </is>
      </c>
      <c r="D6" s="5" t="inlineStr">
        <is>
          <t>GA4セットアップ</t>
        </is>
      </c>
      <c r="E6" s="5" t="inlineStr">
        <is>
          <t>03/24</t>
        </is>
      </c>
      <c r="F6" s="5" t="inlineStr">
        <is>
          <t>03/31</t>
        </is>
      </c>
      <c r="G6" s="5" t="n">
        <v>7</v>
      </c>
      <c r="H6" s="16" t="inlineStr">
        <is>
          <t>未着手</t>
        </is>
      </c>
      <c r="I6" s="6" t="n">
        <v>0</v>
      </c>
      <c r="J6" s="12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5" t="n"/>
    </row>
    <row r="7">
      <c r="A7" s="5" t="inlineStr">
        <is>
          <t>T-26</t>
        </is>
      </c>
      <c r="B7" s="14" t="inlineStr">
        <is>
          <t>コンテンツ</t>
        </is>
      </c>
      <c r="C7" s="5" t="inlineStr">
        <is>
          <t>品質</t>
        </is>
      </c>
      <c r="D7" s="5" t="inlineStr">
        <is>
          <t>全ページ文言監査</t>
        </is>
      </c>
      <c r="E7" s="5" t="inlineStr">
        <is>
          <t>03/24</t>
        </is>
      </c>
      <c r="F7" s="5" t="inlineStr">
        <is>
          <t>04/07</t>
        </is>
      </c>
      <c r="G7" s="5" t="n">
        <v>14</v>
      </c>
      <c r="H7" s="9" t="inlineStr">
        <is>
          <t>完了</t>
        </is>
      </c>
      <c r="I7" s="6" t="n">
        <v>1</v>
      </c>
      <c r="J7" s="12" t="n"/>
      <c r="K7" s="12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5" t="n"/>
    </row>
    <row r="8">
      <c r="A8" s="5" t="inlineStr">
        <is>
          <t>T-32</t>
        </is>
      </c>
      <c r="B8" s="11" t="inlineStr">
        <is>
          <t>経営</t>
        </is>
      </c>
      <c r="C8" s="5" t="inlineStr">
        <is>
          <t>オペ</t>
        </is>
      </c>
      <c r="D8" s="5" t="inlineStr">
        <is>
          <t>問い合わせ対応フロー設計</t>
        </is>
      </c>
      <c r="E8" s="5" t="inlineStr">
        <is>
          <t>03/24</t>
        </is>
      </c>
      <c r="F8" s="5" t="inlineStr">
        <is>
          <t>04/04</t>
        </is>
      </c>
      <c r="G8" s="5" t="n">
        <v>10</v>
      </c>
      <c r="H8" s="9" t="inlineStr">
        <is>
          <t>完了</t>
        </is>
      </c>
      <c r="I8" s="6" t="n">
        <v>1</v>
      </c>
      <c r="J8" s="12" t="n"/>
      <c r="K8" s="12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5" t="n"/>
    </row>
    <row r="9">
      <c r="A9" s="5" t="inlineStr">
        <is>
          <t>T-17</t>
        </is>
      </c>
      <c r="B9" s="11" t="inlineStr">
        <is>
          <t>経営</t>
        </is>
      </c>
      <c r="C9" s="5" t="inlineStr">
        <is>
          <t>営業</t>
        </is>
      </c>
      <c r="D9" s="5" t="inlineStr">
        <is>
          <t>営業提案フロー設計</t>
        </is>
      </c>
      <c r="E9" s="5" t="inlineStr">
        <is>
          <t>03/31</t>
        </is>
      </c>
      <c r="F9" s="5" t="inlineStr">
        <is>
          <t>04/07</t>
        </is>
      </c>
      <c r="G9" s="5" t="n">
        <v>7</v>
      </c>
      <c r="H9" s="9" t="inlineStr">
        <is>
          <t>完了</t>
        </is>
      </c>
      <c r="I9" s="6" t="n">
        <v>1</v>
      </c>
      <c r="J9" s="13" t="n"/>
      <c r="K9" s="12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5" t="n"/>
    </row>
    <row r="10">
      <c r="A10" s="5" t="inlineStr">
        <is>
          <t>T-35</t>
        </is>
      </c>
      <c r="B10" s="11" t="inlineStr">
        <is>
          <t>経営</t>
        </is>
      </c>
      <c r="C10" s="5" t="inlineStr">
        <is>
          <t>収益</t>
        </is>
      </c>
      <c r="D10" s="5" t="inlineStr">
        <is>
          <t>料金プラン確定</t>
        </is>
      </c>
      <c r="E10" s="5" t="inlineStr">
        <is>
          <t>03/31</t>
        </is>
      </c>
      <c r="F10" s="5" t="inlineStr">
        <is>
          <t>04/07</t>
        </is>
      </c>
      <c r="G10" s="5" t="n">
        <v>7</v>
      </c>
      <c r="H10" s="16" t="inlineStr">
        <is>
          <t>未着手</t>
        </is>
      </c>
      <c r="I10" s="6" t="n">
        <v>0</v>
      </c>
      <c r="J10" s="13" t="n"/>
      <c r="K10" s="12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5" t="n"/>
    </row>
    <row r="11">
      <c r="A11" s="5" t="inlineStr">
        <is>
          <t>T-27</t>
        </is>
      </c>
      <c r="B11" s="14" t="inlineStr">
        <is>
          <t>コンテンツ</t>
        </is>
      </c>
      <c r="C11" s="5" t="inlineStr">
        <is>
          <t>品質</t>
        </is>
      </c>
      <c r="D11" s="5" t="inlineStr">
        <is>
          <t>再ヒアリング項目整理</t>
        </is>
      </c>
      <c r="E11" s="5" t="inlineStr">
        <is>
          <t>03/31</t>
        </is>
      </c>
      <c r="F11" s="5" t="inlineStr">
        <is>
          <t>04/07</t>
        </is>
      </c>
      <c r="G11" s="5" t="n">
        <v>7</v>
      </c>
      <c r="H11" s="9" t="inlineStr">
        <is>
          <t>完了</t>
        </is>
      </c>
      <c r="I11" s="6" t="n">
        <v>1</v>
      </c>
      <c r="J11" s="13" t="n"/>
      <c r="K11" s="12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5" t="n"/>
    </row>
    <row r="12">
      <c r="A12" s="5" t="inlineStr">
        <is>
          <t>T-04</t>
        </is>
      </c>
      <c r="B12" s="11" t="inlineStr">
        <is>
          <t>経営</t>
        </is>
      </c>
      <c r="C12" s="5" t="inlineStr">
        <is>
          <t>戦略</t>
        </is>
      </c>
      <c r="D12" s="5" t="inlineStr">
        <is>
          <t>ペルソナ3パターン作成</t>
        </is>
      </c>
      <c r="E12" s="5" t="inlineStr">
        <is>
          <t>03/31</t>
        </is>
      </c>
      <c r="F12" s="5" t="inlineStr">
        <is>
          <t>04/07</t>
        </is>
      </c>
      <c r="G12" s="5" t="n">
        <v>7</v>
      </c>
      <c r="H12" s="9" t="inlineStr">
        <is>
          <t>完了</t>
        </is>
      </c>
      <c r="I12" s="6" t="n">
        <v>1</v>
      </c>
      <c r="J12" s="13" t="n"/>
      <c r="K12" s="12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5" t="n"/>
    </row>
    <row r="13">
      <c r="A13" s="5" t="inlineStr">
        <is>
          <t>T-02</t>
        </is>
      </c>
      <c r="B13" s="15" t="inlineStr">
        <is>
          <t>PM</t>
        </is>
      </c>
      <c r="C13" s="5" t="inlineStr">
        <is>
          <t>計測</t>
        </is>
      </c>
      <c r="D13" s="5" t="inlineStr">
        <is>
          <t>KPI定義・計測開始</t>
        </is>
      </c>
      <c r="E13" s="5" t="inlineStr">
        <is>
          <t>03/31</t>
        </is>
      </c>
      <c r="F13" s="5" t="inlineStr">
        <is>
          <t>04/07</t>
        </is>
      </c>
      <c r="G13" s="5" t="n">
        <v>7</v>
      </c>
      <c r="H13" s="16" t="inlineStr">
        <is>
          <t>未着手</t>
        </is>
      </c>
      <c r="I13" s="6" t="n">
        <v>0</v>
      </c>
      <c r="J13" s="13" t="n"/>
      <c r="K13" s="12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5" t="n"/>
    </row>
    <row r="14">
      <c r="A14" s="5" t="inlineStr">
        <is>
          <t>T-40</t>
        </is>
      </c>
      <c r="B14" s="11" t="inlineStr">
        <is>
          <t>経営</t>
        </is>
      </c>
      <c r="C14" s="5" t="inlineStr">
        <is>
          <t>戦略</t>
        </is>
      </c>
      <c r="D14" s="5" t="inlineStr">
        <is>
          <t>四半期マイルストーン設定</t>
        </is>
      </c>
      <c r="E14" s="5" t="inlineStr">
        <is>
          <t>03/31</t>
        </is>
      </c>
      <c r="F14" s="5" t="inlineStr">
        <is>
          <t>04/07</t>
        </is>
      </c>
      <c r="G14" s="5" t="n">
        <v>7</v>
      </c>
      <c r="H14" s="16" t="inlineStr">
        <is>
          <t>未着手</t>
        </is>
      </c>
      <c r="I14" s="6" t="n">
        <v>0</v>
      </c>
      <c r="J14" s="13" t="n"/>
      <c r="K14" s="12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5" t="n"/>
    </row>
    <row r="15">
      <c r="A15" s="5" t="inlineStr">
        <is>
          <t>T-19</t>
        </is>
      </c>
      <c r="B15" s="11" t="inlineStr">
        <is>
          <t>経営</t>
        </is>
      </c>
      <c r="C15" s="5" t="inlineStr">
        <is>
          <t>営業</t>
        </is>
      </c>
      <c r="D15" s="5" t="inlineStr">
        <is>
          <t>既存取材先への提案</t>
        </is>
      </c>
      <c r="E15" s="5" t="inlineStr">
        <is>
          <t>04/07</t>
        </is>
      </c>
      <c r="F15" s="5" t="inlineStr">
        <is>
          <t>04/18</t>
        </is>
      </c>
      <c r="G15" s="5" t="n">
        <v>10</v>
      </c>
      <c r="H15" s="16" t="inlineStr">
        <is>
          <t>未着手</t>
        </is>
      </c>
      <c r="I15" s="6" t="n">
        <v>0</v>
      </c>
      <c r="J15" s="13" t="n"/>
      <c r="K15" s="13" t="n"/>
      <c r="L15" s="12" t="n"/>
      <c r="M15" s="12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5" t="n"/>
    </row>
    <row r="16">
      <c r="A16" s="5" t="inlineStr">
        <is>
          <t>T-18</t>
        </is>
      </c>
      <c r="B16" s="11" t="inlineStr">
        <is>
          <t>経営</t>
        </is>
      </c>
      <c r="C16" s="5" t="inlineStr">
        <is>
          <t>営業</t>
        </is>
      </c>
      <c r="D16" s="5" t="inlineStr">
        <is>
          <t>契約書テンプレート作成</t>
        </is>
      </c>
      <c r="E16" s="5" t="inlineStr">
        <is>
          <t>04/07</t>
        </is>
      </c>
      <c r="F16" s="5" t="inlineStr">
        <is>
          <t>04/14</t>
        </is>
      </c>
      <c r="G16" s="5" t="n">
        <v>7</v>
      </c>
      <c r="H16" s="9" t="inlineStr">
        <is>
          <t>完了</t>
        </is>
      </c>
      <c r="I16" s="6" t="n">
        <v>1</v>
      </c>
      <c r="J16" s="13" t="n"/>
      <c r="K16" s="13" t="n"/>
      <c r="L16" s="12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</row>
    <row r="17">
      <c r="A17" s="5" t="inlineStr">
        <is>
          <t>T-21</t>
        </is>
      </c>
      <c r="B17" s="14" t="inlineStr">
        <is>
          <t>コンテンツ</t>
        </is>
      </c>
      <c r="C17" s="5" t="inlineStr">
        <is>
          <t>品質</t>
        </is>
      </c>
      <c r="D17" s="5" t="inlineStr">
        <is>
          <t>取材記事の実名化交渉</t>
        </is>
      </c>
      <c r="E17" s="5" t="inlineStr">
        <is>
          <t>04/07</t>
        </is>
      </c>
      <c r="F17" s="5" t="inlineStr">
        <is>
          <t>04/18</t>
        </is>
      </c>
      <c r="G17" s="5" t="n">
        <v>10</v>
      </c>
      <c r="H17" s="16" t="inlineStr">
        <is>
          <t>未着手</t>
        </is>
      </c>
      <c r="I17" s="6" t="n">
        <v>0</v>
      </c>
      <c r="J17" s="13" t="n"/>
      <c r="K17" s="13" t="n"/>
      <c r="L17" s="12" t="n"/>
      <c r="M17" s="12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5" t="n"/>
    </row>
    <row r="18">
      <c r="A18" s="5" t="inlineStr">
        <is>
          <t>T-28</t>
        </is>
      </c>
      <c r="B18" s="9" t="inlineStr">
        <is>
          <t>営業</t>
        </is>
      </c>
      <c r="C18" s="5" t="inlineStr">
        <is>
          <t>品質</t>
        </is>
      </c>
      <c r="D18" s="5" t="inlineStr">
        <is>
          <t>工務店再ヒアリング(1-3社)</t>
        </is>
      </c>
      <c r="E18" s="5" t="inlineStr">
        <is>
          <t>04/07</t>
        </is>
      </c>
      <c r="F18" s="5" t="inlineStr">
        <is>
          <t>04/21</t>
        </is>
      </c>
      <c r="G18" s="5" t="n">
        <v>14</v>
      </c>
      <c r="H18" s="16" t="inlineStr">
        <is>
          <t>未着手</t>
        </is>
      </c>
      <c r="I18" s="6" t="n">
        <v>0</v>
      </c>
      <c r="J18" s="13" t="n"/>
      <c r="K18" s="13" t="n"/>
      <c r="L18" s="12" t="n"/>
      <c r="M18" s="12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5" t="n"/>
    </row>
    <row r="19">
      <c r="A19" s="5" t="inlineStr">
        <is>
          <t>T-10</t>
        </is>
      </c>
      <c r="B19" s="17" t="inlineStr">
        <is>
          <t>マーケ</t>
        </is>
      </c>
      <c r="C19" s="5" t="inlineStr">
        <is>
          <t>集客</t>
        </is>
      </c>
      <c r="D19" s="5" t="inlineStr">
        <is>
          <t>YouTube概要欄CTA最適化</t>
        </is>
      </c>
      <c r="E19" s="5" t="inlineStr">
        <is>
          <t>04/07</t>
        </is>
      </c>
      <c r="F19" s="5" t="inlineStr">
        <is>
          <t>04/14</t>
        </is>
      </c>
      <c r="G19" s="5" t="n">
        <v>7</v>
      </c>
      <c r="H19" s="9" t="inlineStr">
        <is>
          <t>完了</t>
        </is>
      </c>
      <c r="I19" s="6" t="n">
        <v>1</v>
      </c>
      <c r="J19" s="13" t="n"/>
      <c r="K19" s="13" t="n"/>
      <c r="L19" s="12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</row>
    <row r="20">
      <c r="A20" s="5" t="inlineStr">
        <is>
          <t>T-36</t>
        </is>
      </c>
      <c r="B20" s="11" t="inlineStr">
        <is>
          <t>経営</t>
        </is>
      </c>
      <c r="C20" s="5" t="inlineStr">
        <is>
          <t>収益</t>
        </is>
      </c>
      <c r="D20" s="5" t="inlineStr">
        <is>
          <t>初期パートナー1社獲得</t>
        </is>
      </c>
      <c r="E20" s="5" t="inlineStr">
        <is>
          <t>04/14</t>
        </is>
      </c>
      <c r="F20" s="5" t="inlineStr">
        <is>
          <t>04/25</t>
        </is>
      </c>
      <c r="G20" s="5" t="n">
        <v>10</v>
      </c>
      <c r="H20" s="16" t="inlineStr">
        <is>
          <t>未着手</t>
        </is>
      </c>
      <c r="I20" s="6" t="n">
        <v>0</v>
      </c>
      <c r="J20" s="13" t="n"/>
      <c r="K20" s="13" t="n"/>
      <c r="L20" s="13" t="n"/>
      <c r="M20" s="12" t="n"/>
      <c r="N20" s="12" t="n"/>
      <c r="O20" s="13" t="n"/>
      <c r="P20" s="13" t="n"/>
      <c r="Q20" s="13" t="n"/>
      <c r="R20" s="13" t="n"/>
      <c r="S20" s="13" t="n"/>
      <c r="T20" s="13" t="n"/>
      <c r="U20" s="13" t="n"/>
    </row>
    <row r="21">
      <c r="A21" s="5" t="inlineStr">
        <is>
          <t>T-29</t>
        </is>
      </c>
      <c r="B21" s="14" t="inlineStr">
        <is>
          <t>コンテンツ</t>
        </is>
      </c>
      <c r="C21" s="5" t="inlineStr">
        <is>
          <t>品質</t>
        </is>
      </c>
      <c r="D21" s="5" t="inlineStr">
        <is>
          <t>リライト実施(優先5件)</t>
        </is>
      </c>
      <c r="E21" s="5" t="inlineStr">
        <is>
          <t>04/14</t>
        </is>
      </c>
      <c r="F21" s="5" t="inlineStr">
        <is>
          <t>04/25</t>
        </is>
      </c>
      <c r="G21" s="5" t="n">
        <v>10</v>
      </c>
      <c r="H21" s="16" t="inlineStr">
        <is>
          <t>未着手</t>
        </is>
      </c>
      <c r="I21" s="6" t="n">
        <v>0</v>
      </c>
      <c r="J21" s="13" t="n"/>
      <c r="K21" s="13" t="n"/>
      <c r="L21" s="13" t="n"/>
      <c r="M21" s="12" t="n"/>
      <c r="N21" s="12" t="n"/>
      <c r="O21" s="13" t="n"/>
      <c r="P21" s="13" t="n"/>
      <c r="Q21" s="13" t="n"/>
      <c r="R21" s="13" t="n"/>
      <c r="S21" s="13" t="n"/>
      <c r="T21" s="13" t="n"/>
      <c r="U21" s="13" t="n"/>
    </row>
    <row r="22">
      <c r="A22" s="5" t="inlineStr">
        <is>
          <t>T-33</t>
        </is>
      </c>
      <c r="B22" s="11" t="inlineStr">
        <is>
          <t>経営</t>
        </is>
      </c>
      <c r="C22" s="5" t="inlineStr">
        <is>
          <t>オペ</t>
        </is>
      </c>
      <c r="D22" s="5" t="inlineStr">
        <is>
          <t>反響受け渡しフロー設計</t>
        </is>
      </c>
      <c r="E22" s="5" t="inlineStr">
        <is>
          <t>04/14</t>
        </is>
      </c>
      <c r="F22" s="5" t="inlineStr">
        <is>
          <t>04/21</t>
        </is>
      </c>
      <c r="G22" s="5" t="n">
        <v>7</v>
      </c>
      <c r="H22" s="9" t="inlineStr">
        <is>
          <t>完了</t>
        </is>
      </c>
      <c r="I22" s="6" t="n">
        <v>1</v>
      </c>
      <c r="J22" s="13" t="n"/>
      <c r="K22" s="13" t="n"/>
      <c r="L22" s="13" t="n"/>
      <c r="M22" s="12" t="n"/>
      <c r="N22" s="13" t="n"/>
      <c r="O22" s="13" t="n"/>
      <c r="P22" s="13" t="n"/>
      <c r="Q22" s="13" t="n"/>
      <c r="R22" s="13" t="n"/>
      <c r="S22" s="13" t="n"/>
      <c r="T22" s="13" t="n"/>
      <c r="U22" s="13" t="n"/>
    </row>
    <row r="23">
      <c r="A23" s="5" t="inlineStr">
        <is>
          <t>T-38</t>
        </is>
      </c>
      <c r="B23" s="15" t="inlineStr">
        <is>
          <t>PM</t>
        </is>
      </c>
      <c r="C23" s="5" t="inlineStr">
        <is>
          <t>計測</t>
        </is>
      </c>
      <c r="D23" s="5" t="inlineStr">
        <is>
          <t>週次KPIレポート開始</t>
        </is>
      </c>
      <c r="E23" s="5" t="inlineStr">
        <is>
          <t>04/14</t>
        </is>
      </c>
      <c r="F23" s="5" t="inlineStr">
        <is>
          <t>04/21</t>
        </is>
      </c>
      <c r="G23" s="5" t="n">
        <v>7</v>
      </c>
      <c r="H23" s="9" t="inlineStr">
        <is>
          <t>完了</t>
        </is>
      </c>
      <c r="I23" s="6" t="n">
        <v>1</v>
      </c>
      <c r="J23" s="13" t="n"/>
      <c r="K23" s="13" t="n"/>
      <c r="L23" s="13" t="n"/>
      <c r="M23" s="12" t="n"/>
      <c r="N23" s="13" t="n"/>
      <c r="O23" s="13" t="n"/>
      <c r="P23" s="13" t="n"/>
      <c r="Q23" s="13" t="n"/>
      <c r="R23" s="13" t="n"/>
      <c r="S23" s="13" t="n"/>
      <c r="T23" s="13" t="n"/>
      <c r="U23" s="13" t="n"/>
    </row>
    <row r="24">
      <c r="A24" s="5" t="inlineStr">
        <is>
          <t>T-13</t>
        </is>
      </c>
      <c r="B24" s="15" t="inlineStr">
        <is>
          <t>PM</t>
        </is>
      </c>
      <c r="C24" s="5" t="inlineStr">
        <is>
          <t>計測</t>
        </is>
      </c>
      <c r="D24" s="5" t="inlineStr">
        <is>
          <t>CV率計測・分析開始</t>
        </is>
      </c>
      <c r="E24" s="5" t="inlineStr">
        <is>
          <t>04/14</t>
        </is>
      </c>
      <c r="F24" s="5" t="inlineStr">
        <is>
          <t>04/21</t>
        </is>
      </c>
      <c r="G24" s="5" t="n">
        <v>7</v>
      </c>
      <c r="H24" s="16" t="inlineStr">
        <is>
          <t>未着手</t>
        </is>
      </c>
      <c r="I24" s="6" t="n">
        <v>0</v>
      </c>
      <c r="J24" s="13" t="n"/>
      <c r="K24" s="13" t="n"/>
      <c r="L24" s="13" t="n"/>
      <c r="M24" s="12" t="n"/>
      <c r="N24" s="13" t="n"/>
      <c r="O24" s="13" t="n"/>
      <c r="P24" s="13" t="n"/>
      <c r="Q24" s="13" t="n"/>
      <c r="R24" s="13" t="n"/>
      <c r="S24" s="13" t="n"/>
      <c r="T24" s="13" t="n"/>
      <c r="U24" s="13" t="n"/>
    </row>
    <row r="25">
      <c r="A25" s="10" t="inlineStr">
        <is>
          <t>【Month 2: 拡大準備・コンテンツ充実】</t>
        </is>
      </c>
    </row>
    <row r="26">
      <c r="A26" s="5" t="inlineStr">
        <is>
          <t>T-05</t>
        </is>
      </c>
      <c r="B26" s="9" t="inlineStr">
        <is>
          <t>営業</t>
        </is>
      </c>
      <c r="C26" s="5" t="inlineStr">
        <is>
          <t>戦略</t>
        </is>
      </c>
      <c r="D26" s="5" t="inlineStr">
        <is>
          <t>工務店ターゲットリスト作成</t>
        </is>
      </c>
      <c r="E26" s="5" t="inlineStr">
        <is>
          <t>04/21</t>
        </is>
      </c>
      <c r="F26" s="5" t="inlineStr">
        <is>
          <t>05/02</t>
        </is>
      </c>
      <c r="G26" s="5" t="n">
        <v>10</v>
      </c>
      <c r="H26" s="16" t="inlineStr">
        <is>
          <t>未着手</t>
        </is>
      </c>
      <c r="I26" s="6" t="n">
        <v>0</v>
      </c>
      <c r="J26" s="13" t="n"/>
      <c r="K26" s="13" t="n"/>
      <c r="L26" s="13" t="n"/>
      <c r="M26" s="13" t="n"/>
      <c r="N26" s="12" t="n"/>
      <c r="O26" s="12" t="n"/>
      <c r="P26" s="13" t="n"/>
      <c r="Q26" s="13" t="n"/>
      <c r="R26" s="13" t="n"/>
      <c r="S26" s="13" t="n"/>
      <c r="T26" s="13" t="n"/>
      <c r="U26" s="13" t="n"/>
    </row>
    <row r="27">
      <c r="A27" s="5" t="inlineStr">
        <is>
          <t>T-11</t>
        </is>
      </c>
      <c r="B27" s="14" t="inlineStr">
        <is>
          <t>コンテンツ</t>
        </is>
      </c>
      <c r="C27" s="5" t="inlineStr">
        <is>
          <t>集客</t>
        </is>
      </c>
      <c r="D27" s="5" t="inlineStr">
        <is>
          <t>SEO記事制作(月3本)</t>
        </is>
      </c>
      <c r="E27" s="5" t="inlineStr">
        <is>
          <t>04/21</t>
        </is>
      </c>
      <c r="F27" s="5" t="inlineStr">
        <is>
          <t>05/15</t>
        </is>
      </c>
      <c r="G27" s="5" t="n">
        <v>24</v>
      </c>
      <c r="H27" s="9" t="inlineStr">
        <is>
          <t>完了</t>
        </is>
      </c>
      <c r="I27" s="6" t="n">
        <v>1</v>
      </c>
      <c r="J27" s="13" t="n"/>
      <c r="K27" s="13" t="n"/>
      <c r="L27" s="13" t="n"/>
      <c r="M27" s="13" t="n"/>
      <c r="N27" s="12" t="n"/>
      <c r="O27" s="12" t="n"/>
      <c r="P27" s="12" t="n"/>
      <c r="Q27" s="13" t="n"/>
      <c r="R27" s="13" t="n"/>
      <c r="S27" s="13" t="n"/>
      <c r="T27" s="13" t="n"/>
      <c r="U27" s="13" t="n"/>
    </row>
    <row r="28">
      <c r="A28" s="5" t="inlineStr">
        <is>
          <t>T-12</t>
        </is>
      </c>
      <c r="B28" s="17" t="inlineStr">
        <is>
          <t>マーケ</t>
        </is>
      </c>
      <c r="C28" s="5" t="inlineStr">
        <is>
          <t>集客</t>
        </is>
      </c>
      <c r="D28" s="5" t="inlineStr">
        <is>
          <t>LINE公式運用開始</t>
        </is>
      </c>
      <c r="E28" s="5" t="inlineStr">
        <is>
          <t>04/21</t>
        </is>
      </c>
      <c r="F28" s="5" t="inlineStr">
        <is>
          <t>05/02</t>
        </is>
      </c>
      <c r="G28" s="5" t="n">
        <v>10</v>
      </c>
      <c r="H28" s="16" t="inlineStr">
        <is>
          <t>未着手</t>
        </is>
      </c>
      <c r="I28" s="6" t="n">
        <v>0</v>
      </c>
      <c r="J28" s="13" t="n"/>
      <c r="K28" s="13" t="n"/>
      <c r="L28" s="13" t="n"/>
      <c r="M28" s="13" t="n"/>
      <c r="N28" s="12" t="n"/>
      <c r="O28" s="12" t="n"/>
      <c r="P28" s="13" t="n"/>
      <c r="Q28" s="13" t="n"/>
      <c r="R28" s="13" t="n"/>
      <c r="S28" s="13" t="n"/>
      <c r="T28" s="13" t="n"/>
      <c r="U28" s="13" t="n"/>
    </row>
    <row r="29">
      <c r="A29" s="5" t="inlineStr">
        <is>
          <t>T-20</t>
        </is>
      </c>
      <c r="B29" s="9" t="inlineStr">
        <is>
          <t>営業</t>
        </is>
      </c>
      <c r="C29" s="5" t="inlineStr">
        <is>
          <t>営業</t>
        </is>
      </c>
      <c r="D29" s="5" t="inlineStr">
        <is>
          <t>新規工務店アプローチ(月5社)</t>
        </is>
      </c>
      <c r="E29" s="5" t="inlineStr">
        <is>
          <t>04/28</t>
        </is>
      </c>
      <c r="F29" s="5" t="inlineStr">
        <is>
          <t>05/22</t>
        </is>
      </c>
      <c r="G29" s="5" t="n">
        <v>24</v>
      </c>
      <c r="H29" s="16" t="inlineStr">
        <is>
          <t>未着手</t>
        </is>
      </c>
      <c r="I29" s="6" t="n">
        <v>0</v>
      </c>
      <c r="J29" s="13" t="n"/>
      <c r="K29" s="13" t="n"/>
      <c r="L29" s="13" t="n"/>
      <c r="M29" s="13" t="n"/>
      <c r="N29" s="13" t="n"/>
      <c r="O29" s="12" t="n"/>
      <c r="P29" s="12" t="n"/>
      <c r="Q29" s="12" t="n"/>
      <c r="R29" s="13" t="n"/>
      <c r="S29" s="13" t="n"/>
      <c r="T29" s="13" t="n"/>
      <c r="U29" s="13" t="n"/>
    </row>
    <row r="30">
      <c r="A30" s="5" t="inlineStr">
        <is>
          <t>T-22</t>
        </is>
      </c>
      <c r="B30" s="14" t="inlineStr">
        <is>
          <t>コンテンツ</t>
        </is>
      </c>
      <c r="C30" s="5" t="inlineStr">
        <is>
          <t>コンテンツ</t>
        </is>
      </c>
      <c r="D30" s="5" t="inlineStr">
        <is>
          <t>月次コンテンツカレンダー作成</t>
        </is>
      </c>
      <c r="E30" s="5" t="inlineStr">
        <is>
          <t>04/21</t>
        </is>
      </c>
      <c r="F30" s="5" t="inlineStr">
        <is>
          <t>04/28</t>
        </is>
      </c>
      <c r="G30" s="5" t="n">
        <v>7</v>
      </c>
      <c r="H30" s="9" t="inlineStr">
        <is>
          <t>完了</t>
        </is>
      </c>
      <c r="I30" s="6" t="n">
        <v>1</v>
      </c>
      <c r="J30" s="13" t="n"/>
      <c r="K30" s="13" t="n"/>
      <c r="L30" s="13" t="n"/>
      <c r="M30" s="13" t="n"/>
      <c r="N30" s="12" t="n"/>
      <c r="O30" s="13" t="n"/>
      <c r="P30" s="13" t="n"/>
      <c r="Q30" s="13" t="n"/>
      <c r="R30" s="13" t="n"/>
      <c r="S30" s="13" t="n"/>
      <c r="T30" s="13" t="n"/>
      <c r="U30" s="13" t="n"/>
    </row>
    <row r="31">
      <c r="A31" s="5" t="inlineStr">
        <is>
          <t>T-30</t>
        </is>
      </c>
      <c r="B31" s="14" t="inlineStr">
        <is>
          <t>コンテンツ</t>
        </is>
      </c>
      <c r="C31" s="5" t="inlineStr">
        <is>
          <t>品質</t>
        </is>
      </c>
      <c r="D31" s="5" t="inlineStr">
        <is>
          <t>SEOメタデータ一括入力</t>
        </is>
      </c>
      <c r="E31" s="5" t="inlineStr">
        <is>
          <t>04/21</t>
        </is>
      </c>
      <c r="F31" s="5" t="inlineStr">
        <is>
          <t>05/02</t>
        </is>
      </c>
      <c r="G31" s="5" t="n">
        <v>10</v>
      </c>
      <c r="H31" s="9" t="inlineStr">
        <is>
          <t>完了</t>
        </is>
      </c>
      <c r="I31" s="6" t="n">
        <v>1</v>
      </c>
      <c r="J31" s="13" t="n"/>
      <c r="K31" s="13" t="n"/>
      <c r="L31" s="13" t="n"/>
      <c r="M31" s="13" t="n"/>
      <c r="N31" s="12" t="n"/>
      <c r="O31" s="12" t="n"/>
      <c r="P31" s="13" t="n"/>
      <c r="Q31" s="13" t="n"/>
      <c r="R31" s="13" t="n"/>
      <c r="S31" s="13" t="n"/>
      <c r="T31" s="13" t="n"/>
      <c r="U31" s="13" t="n"/>
    </row>
    <row r="32">
      <c r="A32" s="5" t="inlineStr">
        <is>
          <t>T-31</t>
        </is>
      </c>
      <c r="B32" s="14" t="inlineStr">
        <is>
          <t>コンテンツ</t>
        </is>
      </c>
      <c r="C32" s="5" t="inlineStr">
        <is>
          <t>品質</t>
        </is>
      </c>
      <c r="D32" s="5" t="inlineStr">
        <is>
          <t>マガジン表紙画像制作</t>
        </is>
      </c>
      <c r="E32" s="5" t="inlineStr">
        <is>
          <t>04/28</t>
        </is>
      </c>
      <c r="F32" s="5" t="inlineStr">
        <is>
          <t>05/15</t>
        </is>
      </c>
      <c r="G32" s="5" t="n">
        <v>17</v>
      </c>
      <c r="H32" s="16" t="inlineStr">
        <is>
          <t>未着手</t>
        </is>
      </c>
      <c r="I32" s="6" t="n">
        <v>0</v>
      </c>
      <c r="J32" s="13" t="n"/>
      <c r="K32" s="13" t="n"/>
      <c r="L32" s="13" t="n"/>
      <c r="M32" s="13" t="n"/>
      <c r="N32" s="13" t="n"/>
      <c r="O32" s="12" t="n"/>
      <c r="P32" s="12" t="n"/>
      <c r="Q32" s="13" t="n"/>
      <c r="R32" s="13" t="n"/>
      <c r="S32" s="13" t="n"/>
      <c r="T32" s="13" t="n"/>
      <c r="U32" s="13" t="n"/>
    </row>
    <row r="33">
      <c r="A33" s="5" t="inlineStr">
        <is>
          <t>T-42</t>
        </is>
      </c>
      <c r="B33" s="14" t="inlineStr">
        <is>
          <t>コンテンツ</t>
        </is>
      </c>
      <c r="C33" s="5" t="inlineStr">
        <is>
          <t>品質</t>
        </is>
      </c>
      <c r="D33" s="5" t="inlineStr">
        <is>
          <t>構造化データ入力</t>
        </is>
      </c>
      <c r="E33" s="5" t="inlineStr">
        <is>
          <t>05/04</t>
        </is>
      </c>
      <c r="F33" s="5" t="inlineStr">
        <is>
          <t>05/22</t>
        </is>
      </c>
      <c r="G33" s="5" t="n">
        <v>18</v>
      </c>
      <c r="H33" s="16" t="inlineStr">
        <is>
          <t>未着手</t>
        </is>
      </c>
      <c r="I33" s="6" t="n">
        <v>0</v>
      </c>
      <c r="J33" s="13" t="n"/>
      <c r="K33" s="13" t="n"/>
      <c r="L33" s="13" t="n"/>
      <c r="M33" s="13" t="n"/>
      <c r="N33" s="13" t="n"/>
      <c r="O33" s="13" t="n"/>
      <c r="P33" s="12" t="n"/>
      <c r="Q33" s="12" t="n"/>
      <c r="R33" s="13" t="n"/>
      <c r="S33" s="13" t="n"/>
      <c r="T33" s="13" t="n"/>
      <c r="U33" s="13" t="n"/>
    </row>
    <row r="34">
      <c r="A34" s="5" t="inlineStr">
        <is>
          <t>T-39</t>
        </is>
      </c>
      <c r="B34" s="15" t="inlineStr">
        <is>
          <t>PM</t>
        </is>
      </c>
      <c r="C34" s="5" t="inlineStr">
        <is>
          <t>計測</t>
        </is>
      </c>
      <c r="D34" s="5" t="inlineStr">
        <is>
          <t>月次レビュー会議開始</t>
        </is>
      </c>
      <c r="E34" s="5" t="inlineStr">
        <is>
          <t>05/04</t>
        </is>
      </c>
      <c r="F34" s="5" t="inlineStr">
        <is>
          <t>05/11</t>
        </is>
      </c>
      <c r="G34" s="5" t="n">
        <v>7</v>
      </c>
      <c r="H34" s="9" t="inlineStr">
        <is>
          <t>完了</t>
        </is>
      </c>
      <c r="I34" s="6" t="n">
        <v>1</v>
      </c>
      <c r="J34" s="13" t="n"/>
      <c r="K34" s="13" t="n"/>
      <c r="L34" s="13" t="n"/>
      <c r="M34" s="13" t="n"/>
      <c r="N34" s="13" t="n"/>
      <c r="O34" s="13" t="n"/>
      <c r="P34" s="12" t="n"/>
      <c r="Q34" s="13" t="n"/>
      <c r="R34" s="13" t="n"/>
      <c r="S34" s="13" t="n"/>
      <c r="T34" s="13" t="n"/>
      <c r="U34" s="13" t="n"/>
    </row>
    <row r="35">
      <c r="A35" s="10" t="inlineStr">
        <is>
          <t>【Month 3: 検証・改善・次フェーズ準備】</t>
        </is>
      </c>
    </row>
    <row r="36">
      <c r="A36" s="5" t="inlineStr">
        <is>
          <t>T-01</t>
        </is>
      </c>
      <c r="B36" s="11" t="inlineStr">
        <is>
          <t>経営</t>
        </is>
      </c>
      <c r="C36" s="5" t="inlineStr">
        <is>
          <t>収益</t>
        </is>
      </c>
      <c r="D36" s="5" t="inlineStr">
        <is>
          <t>収益モデル初期検証</t>
        </is>
      </c>
      <c r="E36" s="5" t="inlineStr">
        <is>
          <t>05/18</t>
        </is>
      </c>
      <c r="F36" s="5" t="inlineStr">
        <is>
          <t>06/05</t>
        </is>
      </c>
      <c r="G36" s="5" t="n">
        <v>18</v>
      </c>
      <c r="H36" s="16" t="inlineStr">
        <is>
          <t>未着手</t>
        </is>
      </c>
      <c r="I36" s="6" t="n">
        <v>0</v>
      </c>
      <c r="J36" s="13" t="n"/>
      <c r="K36" s="13" t="n"/>
      <c r="L36" s="13" t="n"/>
      <c r="M36" s="13" t="n"/>
      <c r="N36" s="13" t="n"/>
      <c r="O36" s="13" t="n"/>
      <c r="P36" s="13" t="n"/>
      <c r="Q36" s="13" t="n"/>
      <c r="R36" s="12" t="n"/>
      <c r="S36" s="12" t="n"/>
      <c r="T36" s="13" t="n"/>
      <c r="U36" s="13" t="n"/>
    </row>
    <row r="37">
      <c r="A37" s="5" t="inlineStr">
        <is>
          <t>T-03</t>
        </is>
      </c>
      <c r="B37" s="11" t="inlineStr">
        <is>
          <t>経営</t>
        </is>
      </c>
      <c r="C37" s="5" t="inlineStr">
        <is>
          <t>戦略</t>
        </is>
      </c>
      <c r="D37" s="5" t="inlineStr">
        <is>
          <t>月次P/L作成</t>
        </is>
      </c>
      <c r="E37" s="5" t="inlineStr">
        <is>
          <t>05/18</t>
        </is>
      </c>
      <c r="F37" s="5" t="inlineStr">
        <is>
          <t>05/25</t>
        </is>
      </c>
      <c r="G37" s="5" t="n">
        <v>7</v>
      </c>
      <c r="H37" s="9" t="inlineStr">
        <is>
          <t>完了</t>
        </is>
      </c>
      <c r="I37" s="6" t="n">
        <v>1</v>
      </c>
      <c r="J37" s="13" t="n"/>
      <c r="K37" s="13" t="n"/>
      <c r="L37" s="13" t="n"/>
      <c r="M37" s="13" t="n"/>
      <c r="N37" s="13" t="n"/>
      <c r="O37" s="13" t="n"/>
      <c r="P37" s="13" t="n"/>
      <c r="Q37" s="13" t="n"/>
      <c r="R37" s="12" t="n"/>
      <c r="S37" s="13" t="n"/>
      <c r="T37" s="13" t="n"/>
      <c r="U37" s="13" t="n"/>
    </row>
    <row r="38">
      <c r="A38" s="5" t="inlineStr">
        <is>
          <t>T-14</t>
        </is>
      </c>
      <c r="B38" s="15" t="inlineStr">
        <is>
          <t>PM</t>
        </is>
      </c>
      <c r="C38" s="5" t="inlineStr">
        <is>
          <t>CV</t>
        </is>
      </c>
      <c r="D38" s="5" t="inlineStr">
        <is>
          <t>フォーム離脱率分析・改善</t>
        </is>
      </c>
      <c r="E38" s="5" t="inlineStr">
        <is>
          <t>05/18</t>
        </is>
      </c>
      <c r="F38" s="5" t="inlineStr">
        <is>
          <t>06/01</t>
        </is>
      </c>
      <c r="G38" s="5" t="n">
        <v>14</v>
      </c>
      <c r="H38" s="16" t="inlineStr">
        <is>
          <t>未着手</t>
        </is>
      </c>
      <c r="I38" s="6" t="n">
        <v>0</v>
      </c>
      <c r="J38" s="13" t="n"/>
      <c r="K38" s="13" t="n"/>
      <c r="L38" s="13" t="n"/>
      <c r="M38" s="13" t="n"/>
      <c r="N38" s="13" t="n"/>
      <c r="O38" s="13" t="n"/>
      <c r="P38" s="13" t="n"/>
      <c r="Q38" s="13" t="n"/>
      <c r="R38" s="12" t="n"/>
      <c r="S38" s="12" t="n"/>
      <c r="T38" s="13" t="n"/>
      <c r="U38" s="13" t="n"/>
    </row>
    <row r="39">
      <c r="A39" s="5" t="inlineStr">
        <is>
          <t>T-15</t>
        </is>
      </c>
      <c r="B39" s="15" t="inlineStr">
        <is>
          <t>PM</t>
        </is>
      </c>
      <c r="C39" s="5" t="inlineStr">
        <is>
          <t>データ</t>
        </is>
      </c>
      <c r="D39" s="5" t="inlineStr">
        <is>
          <t>データ活用ロードマップ確定</t>
        </is>
      </c>
      <c r="E39" s="5" t="inlineStr">
        <is>
          <t>05/25</t>
        </is>
      </c>
      <c r="F39" s="5" t="inlineStr">
        <is>
          <t>06/08</t>
        </is>
      </c>
      <c r="G39" s="5" t="n">
        <v>14</v>
      </c>
      <c r="H39" s="9" t="inlineStr">
        <is>
          <t>完了</t>
        </is>
      </c>
      <c r="I39" s="6" t="n">
        <v>1</v>
      </c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2" t="n"/>
      <c r="T39" s="12" t="n"/>
      <c r="U39" s="13" t="n"/>
    </row>
    <row r="40">
      <c r="A40" s="5" t="inlineStr">
        <is>
          <t>T-16</t>
        </is>
      </c>
      <c r="B40" s="15" t="inlineStr">
        <is>
          <t>PM</t>
        </is>
      </c>
      <c r="C40" s="5" t="inlineStr">
        <is>
          <t>データ</t>
        </is>
      </c>
      <c r="D40" s="5" t="inlineStr">
        <is>
          <t>月次データレポート作成</t>
        </is>
      </c>
      <c r="E40" s="5" t="inlineStr">
        <is>
          <t>06/01</t>
        </is>
      </c>
      <c r="F40" s="5" t="inlineStr">
        <is>
          <t>06/15</t>
        </is>
      </c>
      <c r="G40" s="5" t="n">
        <v>14</v>
      </c>
      <c r="H40" s="9" t="inlineStr">
        <is>
          <t>完了</t>
        </is>
      </c>
      <c r="I40" s="6" t="n">
        <v>1</v>
      </c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2" t="n"/>
      <c r="U40" s="12" t="n"/>
    </row>
    <row r="41">
      <c r="A41" s="5" t="inlineStr">
        <is>
          <t>T-23</t>
        </is>
      </c>
      <c r="B41" s="14" t="inlineStr">
        <is>
          <t>コンテンツ</t>
        </is>
      </c>
      <c r="C41" s="5" t="inlineStr">
        <is>
          <t>コンテンツ</t>
        </is>
      </c>
      <c r="D41" s="5" t="inlineStr">
        <is>
          <t>比較コンテンツ制作</t>
        </is>
      </c>
      <c r="E41" s="5" t="inlineStr">
        <is>
          <t>05/18</t>
        </is>
      </c>
      <c r="F41" s="5" t="inlineStr">
        <is>
          <t>06/15</t>
        </is>
      </c>
      <c r="G41" s="5" t="n">
        <v>28</v>
      </c>
      <c r="H41" s="9" t="inlineStr">
        <is>
          <t>完了</t>
        </is>
      </c>
      <c r="I41" s="6" t="n">
        <v>1</v>
      </c>
      <c r="J41" s="13" t="n"/>
      <c r="K41" s="13" t="n"/>
      <c r="L41" s="13" t="n"/>
      <c r="M41" s="13" t="n"/>
      <c r="N41" s="13" t="n"/>
      <c r="O41" s="13" t="n"/>
      <c r="P41" s="13" t="n"/>
      <c r="Q41" s="13" t="n"/>
      <c r="R41" s="12" t="n"/>
      <c r="S41" s="12" t="n"/>
      <c r="T41" s="12" t="n"/>
      <c r="U41" s="12" t="n"/>
    </row>
    <row r="42">
      <c r="A42" s="5" t="inlineStr">
        <is>
          <t>T-24</t>
        </is>
      </c>
      <c r="B42" s="14" t="inlineStr">
        <is>
          <t>コンテンツ</t>
        </is>
      </c>
      <c r="C42" s="5" t="inlineStr">
        <is>
          <t>コンテンツ</t>
        </is>
      </c>
      <c r="D42" s="5" t="inlineStr">
        <is>
          <t>AIチャット用FAQ整理</t>
        </is>
      </c>
      <c r="E42" s="5" t="inlineStr">
        <is>
          <t>05/25</t>
        </is>
      </c>
      <c r="F42" s="5" t="inlineStr">
        <is>
          <t>06/08</t>
        </is>
      </c>
      <c r="G42" s="5" t="n">
        <v>14</v>
      </c>
      <c r="H42" s="9" t="inlineStr">
        <is>
          <t>完了</t>
        </is>
      </c>
      <c r="I42" s="6" t="n">
        <v>1</v>
      </c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2" t="n"/>
      <c r="T42" s="12" t="n"/>
      <c r="U42" s="13" t="n"/>
    </row>
    <row r="43">
      <c r="A43" s="5" t="inlineStr">
        <is>
          <t>T-41</t>
        </is>
      </c>
      <c r="B43" s="11" t="inlineStr">
        <is>
          <t>経営</t>
        </is>
      </c>
      <c r="C43" s="5" t="inlineStr">
        <is>
          <t>戦略</t>
        </is>
      </c>
      <c r="D43" s="5" t="inlineStr">
        <is>
          <t>年間事業計画策定</t>
        </is>
      </c>
      <c r="E43" s="5" t="inlineStr">
        <is>
          <t>06/01</t>
        </is>
      </c>
      <c r="F43" s="5" t="inlineStr">
        <is>
          <t>06/15</t>
        </is>
      </c>
      <c r="G43" s="5" t="n">
        <v>14</v>
      </c>
      <c r="H43" s="16" t="inlineStr">
        <is>
          <t>未着手</t>
        </is>
      </c>
      <c r="I43" s="6" t="n">
        <v>0</v>
      </c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2" t="n"/>
      <c r="U43" s="12" t="n"/>
    </row>
    <row r="44">
      <c r="A44" s="5" t="inlineStr">
        <is>
          <t>T-34</t>
        </is>
      </c>
      <c r="B44" s="11" t="inlineStr">
        <is>
          <t>経営</t>
        </is>
      </c>
      <c r="C44" s="5" t="inlineStr">
        <is>
          <t>オペ</t>
        </is>
      </c>
      <c r="D44" s="5" t="inlineStr">
        <is>
          <t>SLA設定</t>
        </is>
      </c>
      <c r="E44" s="5" t="inlineStr">
        <is>
          <t>06/01</t>
        </is>
      </c>
      <c r="F44" s="5" t="inlineStr">
        <is>
          <t>06/08</t>
        </is>
      </c>
      <c r="G44" s="5" t="n">
        <v>7</v>
      </c>
      <c r="H44" s="9" t="inlineStr">
        <is>
          <t>完了</t>
        </is>
      </c>
      <c r="I44" s="6" t="n">
        <v>1</v>
      </c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2" t="n"/>
      <c r="U44" s="13" t="n"/>
    </row>
  </sheetData>
  <mergeCells count="3">
    <mergeCell ref="A35:U35"/>
    <mergeCell ref="A25:U25"/>
    <mergeCell ref="A2:U2"/>
  </mergeCells>
  <dataValidations count="1">
    <dataValidation sqref="H2:H60" showDropDown="0" showInputMessage="0" showErrorMessage="0" allowBlank="1" type="list">
      <formula1>"未着手,進行中,確認中,完了,保留"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8740C"/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26" customWidth="1" min="3" max="3"/>
    <col width="10" customWidth="1" min="4" max="4"/>
    <col width="8" customWidth="1" min="5" max="5"/>
    <col width="6" customWidth="1" min="6" max="6"/>
    <col width="8" customWidth="1" min="7" max="7"/>
    <col width="30" customWidth="1" min="8" max="8"/>
    <col width="12" customWidth="1" min="9" max="9"/>
  </cols>
  <sheetData>
    <row r="1">
      <c r="A1" s="4" t="inlineStr">
        <is>
          <t>担当</t>
        </is>
      </c>
      <c r="B1" s="4" t="inlineStr">
        <is>
          <t>ID</t>
        </is>
      </c>
      <c r="C1" s="4" t="inlineStr">
        <is>
          <t>タスク名</t>
        </is>
      </c>
      <c r="D1" s="4" t="inlineStr">
        <is>
          <t>カテゴリ</t>
        </is>
      </c>
      <c r="E1" s="4" t="inlineStr">
        <is>
          <t>期限</t>
        </is>
      </c>
      <c r="F1" s="4" t="inlineStr">
        <is>
          <t>優先度</t>
        </is>
      </c>
      <c r="G1" s="4" t="inlineStr">
        <is>
          <t>ステータス</t>
        </is>
      </c>
      <c r="H1" s="4" t="inlineStr">
        <is>
          <t>次のアクション</t>
        </is>
      </c>
      <c r="I1" s="4" t="inlineStr">
        <is>
          <t>備考</t>
        </is>
      </c>
    </row>
    <row r="2">
      <c r="A2" s="16" t="n"/>
      <c r="B2" s="16" t="n"/>
      <c r="C2" s="16" t="n"/>
      <c r="D2" s="16" t="n"/>
      <c r="E2" s="16" t="n"/>
      <c r="F2" s="16" t="n"/>
      <c r="G2" s="16" t="n"/>
      <c r="H2" s="16" t="n"/>
      <c r="I2" s="16" t="n"/>
    </row>
    <row r="3">
      <c r="A3" s="11" t="inlineStr">
        <is>
          <t>経営</t>
        </is>
      </c>
      <c r="B3" s="5" t="inlineStr">
        <is>
          <t>T-06</t>
        </is>
      </c>
      <c r="C3" s="5" t="inlineStr">
        <is>
          <t>エレベーターピッチ作成</t>
        </is>
      </c>
      <c r="D3" s="5" t="inlineStr">
        <is>
          <t>戦略</t>
        </is>
      </c>
      <c r="E3" s="5" t="inlineStr">
        <is>
          <t>03/28</t>
        </is>
      </c>
      <c r="F3" s="18" t="inlineStr">
        <is>
          <t>高</t>
        </is>
      </c>
      <c r="G3" s="9" t="inlineStr">
        <is>
          <t>完了</t>
        </is>
      </c>
      <c r="H3" s="5" t="inlineStr">
        <is>
          <t>AIで草案3パターン生成→選定</t>
        </is>
      </c>
      <c r="I3" s="5" t="n"/>
    </row>
    <row r="4">
      <c r="A4" s="11" t="inlineStr">
        <is>
          <t>経営</t>
        </is>
      </c>
      <c r="B4" s="5" t="inlineStr">
        <is>
          <t>T-07</t>
        </is>
      </c>
      <c r="C4" s="5" t="inlineStr">
        <is>
          <t>営業提案書 初稿</t>
        </is>
      </c>
      <c r="D4" s="5" t="inlineStr">
        <is>
          <t>営業</t>
        </is>
      </c>
      <c r="E4" s="5" t="inlineStr">
        <is>
          <t>04/04</t>
        </is>
      </c>
      <c r="F4" s="18" t="inlineStr">
        <is>
          <t>高</t>
        </is>
      </c>
      <c r="G4" s="9" t="inlineStr">
        <is>
          <t>完了</t>
        </is>
      </c>
      <c r="H4" s="5" t="inlineStr">
        <is>
          <t>AIで構成案作成→レビュー</t>
        </is>
      </c>
      <c r="I4" s="5" t="n"/>
    </row>
    <row r="5">
      <c r="A5" s="11" t="inlineStr">
        <is>
          <t>経営</t>
        </is>
      </c>
      <c r="B5" s="5" t="inlineStr">
        <is>
          <t>T-35</t>
        </is>
      </c>
      <c r="C5" s="5" t="inlineStr">
        <is>
          <t>料金プラン確定</t>
        </is>
      </c>
      <c r="D5" s="5" t="inlineStr">
        <is>
          <t>収益</t>
        </is>
      </c>
      <c r="E5" s="5" t="inlineStr">
        <is>
          <t>04/07</t>
        </is>
      </c>
      <c r="F5" s="18" t="inlineStr">
        <is>
          <t>高</t>
        </is>
      </c>
      <c r="G5" s="16" t="inlineStr">
        <is>
          <t>未着手</t>
        </is>
      </c>
      <c r="H5" s="5" t="inlineStr">
        <is>
          <t>競合調査→3プラン価格決定</t>
        </is>
      </c>
      <c r="I5" s="5" t="n"/>
    </row>
    <row r="6">
      <c r="A6" s="11" t="inlineStr">
        <is>
          <t>経営</t>
        </is>
      </c>
      <c r="B6" s="5" t="inlineStr">
        <is>
          <t>T-17</t>
        </is>
      </c>
      <c r="C6" s="5" t="inlineStr">
        <is>
          <t>営業フロー設計</t>
        </is>
      </c>
      <c r="D6" s="5" t="inlineStr">
        <is>
          <t>営業</t>
        </is>
      </c>
      <c r="E6" s="5" t="inlineStr">
        <is>
          <t>04/07</t>
        </is>
      </c>
      <c r="F6" s="18" t="inlineStr">
        <is>
          <t>高</t>
        </is>
      </c>
      <c r="G6" s="9" t="inlineStr">
        <is>
          <t>完了</t>
        </is>
      </c>
      <c r="H6" s="5" t="inlineStr">
        <is>
          <t>AIでフロー草案→調整</t>
        </is>
      </c>
      <c r="I6" s="5" t="n"/>
    </row>
    <row r="7">
      <c r="A7" s="11" t="inlineStr">
        <is>
          <t>経営</t>
        </is>
      </c>
      <c r="B7" s="5" t="inlineStr">
        <is>
          <t>T-32</t>
        </is>
      </c>
      <c r="C7" s="5" t="inlineStr">
        <is>
          <t>問い合わせ対応フロー</t>
        </is>
      </c>
      <c r="D7" s="5" t="inlineStr">
        <is>
          <t>オペ</t>
        </is>
      </c>
      <c r="E7" s="5" t="inlineStr">
        <is>
          <t>04/04</t>
        </is>
      </c>
      <c r="F7" s="18" t="inlineStr">
        <is>
          <t>高</t>
        </is>
      </c>
      <c r="G7" s="9" t="inlineStr">
        <is>
          <t>完了</t>
        </is>
      </c>
      <c r="H7" s="5" t="inlineStr">
        <is>
          <t>AIでフロー草案→確定</t>
        </is>
      </c>
      <c r="I7" s="5" t="n"/>
    </row>
    <row r="8">
      <c r="A8" s="11" t="inlineStr">
        <is>
          <t>経営</t>
        </is>
      </c>
      <c r="B8" s="5" t="inlineStr">
        <is>
          <t>T-19</t>
        </is>
      </c>
      <c r="C8" s="5" t="inlineStr">
        <is>
          <t>既存取材先への提案</t>
        </is>
      </c>
      <c r="D8" s="5" t="inlineStr">
        <is>
          <t>営業</t>
        </is>
      </c>
      <c r="E8" s="5" t="inlineStr">
        <is>
          <t>04/18</t>
        </is>
      </c>
      <c r="F8" s="18" t="inlineStr">
        <is>
          <t>高</t>
        </is>
      </c>
      <c r="G8" s="16" t="inlineStr">
        <is>
          <t>未着手</t>
        </is>
      </c>
      <c r="H8" s="5" t="inlineStr">
        <is>
          <t>アポ取得→提案書持参→交渉</t>
        </is>
      </c>
      <c r="I8" s="5" t="n"/>
    </row>
    <row r="9">
      <c r="A9" s="11" t="inlineStr">
        <is>
          <t>経営</t>
        </is>
      </c>
      <c r="B9" s="5" t="inlineStr">
        <is>
          <t>T-36</t>
        </is>
      </c>
      <c r="C9" s="5" t="inlineStr">
        <is>
          <t>初期パートナー1社獲得</t>
        </is>
      </c>
      <c r="D9" s="5" t="inlineStr">
        <is>
          <t>収益</t>
        </is>
      </c>
      <c r="E9" s="5" t="inlineStr">
        <is>
          <t>04/25</t>
        </is>
      </c>
      <c r="F9" s="18" t="inlineStr">
        <is>
          <t>高</t>
        </is>
      </c>
      <c r="G9" s="16" t="inlineStr">
        <is>
          <t>未着手</t>
        </is>
      </c>
      <c r="H9" s="5" t="inlineStr">
        <is>
          <t>T-19の結果→契約締結</t>
        </is>
      </c>
      <c r="I9" s="5" t="inlineStr">
        <is>
          <t>最重要</t>
        </is>
      </c>
    </row>
    <row r="10">
      <c r="A10" s="11" t="inlineStr">
        <is>
          <t>経営</t>
        </is>
      </c>
      <c r="B10" s="5" t="inlineStr">
        <is>
          <t>T-40</t>
        </is>
      </c>
      <c r="C10" s="5" t="inlineStr">
        <is>
          <t>四半期マイルストーン</t>
        </is>
      </c>
      <c r="D10" s="5" t="inlineStr">
        <is>
          <t>戦略</t>
        </is>
      </c>
      <c r="E10" s="5" t="inlineStr">
        <is>
          <t>04/07</t>
        </is>
      </c>
      <c r="F10" s="18" t="inlineStr">
        <is>
          <t>高</t>
        </is>
      </c>
      <c r="G10" s="16" t="inlineStr">
        <is>
          <t>未着手</t>
        </is>
      </c>
      <c r="H10" s="5" t="inlineStr">
        <is>
          <t>Q2/Q3/Q4目標値設定</t>
        </is>
      </c>
      <c r="I10" s="5" t="n"/>
    </row>
    <row r="11">
      <c r="A11" s="11" t="inlineStr">
        <is>
          <t>経営</t>
        </is>
      </c>
      <c r="B11" s="5" t="inlineStr">
        <is>
          <t>T-08</t>
        </is>
      </c>
      <c r="C11" s="5" t="inlineStr">
        <is>
          <t>料金プラン確定</t>
        </is>
      </c>
      <c r="D11" s="5" t="inlineStr">
        <is>
          <t>収益</t>
        </is>
      </c>
      <c r="E11" s="5" t="inlineStr">
        <is>
          <t>04/07</t>
        </is>
      </c>
      <c r="F11" s="18" t="inlineStr">
        <is>
          <t>高</t>
        </is>
      </c>
      <c r="G11" s="16" t="inlineStr">
        <is>
          <t>未着手</t>
        </is>
      </c>
      <c r="H11" s="5" t="inlineStr">
        <is>
          <t>3プランの最終価格決定</t>
        </is>
      </c>
      <c r="I11" s="5" t="inlineStr">
        <is>
          <t>経営専権</t>
        </is>
      </c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r="13">
      <c r="A13" s="9" t="inlineStr">
        <is>
          <t>営業</t>
        </is>
      </c>
      <c r="B13" s="5" t="inlineStr">
        <is>
          <t>T-28</t>
        </is>
      </c>
      <c r="C13" s="5" t="inlineStr">
        <is>
          <t>工務店再ヒアリング(1-3社)</t>
        </is>
      </c>
      <c r="D13" s="5" t="inlineStr">
        <is>
          <t>品質</t>
        </is>
      </c>
      <c r="E13" s="5" t="inlineStr">
        <is>
          <t>04/21</t>
        </is>
      </c>
      <c r="F13" s="18" t="inlineStr">
        <is>
          <t>高</t>
        </is>
      </c>
      <c r="G13" s="16" t="inlineStr">
        <is>
          <t>未着手</t>
        </is>
      </c>
      <c r="H13" s="5" t="inlineStr">
        <is>
          <t>質問シート(T-27)→訪問実施</t>
        </is>
      </c>
      <c r="I13" s="5" t="n"/>
    </row>
    <row r="14">
      <c r="A14" s="9" t="inlineStr">
        <is>
          <t>営業</t>
        </is>
      </c>
      <c r="B14" s="5" t="inlineStr">
        <is>
          <t>T-05</t>
        </is>
      </c>
      <c r="C14" s="5" t="inlineStr">
        <is>
          <t>ターゲットリスト50社</t>
        </is>
      </c>
      <c r="D14" s="5" t="inlineStr">
        <is>
          <t>戦略</t>
        </is>
      </c>
      <c r="E14" s="5" t="inlineStr">
        <is>
          <t>05/02</t>
        </is>
      </c>
      <c r="F14" s="19" t="inlineStr">
        <is>
          <t>中</t>
        </is>
      </c>
      <c r="G14" s="16" t="inlineStr">
        <is>
          <t>未着手</t>
        </is>
      </c>
      <c r="H14" s="5" t="inlineStr">
        <is>
          <t>AI補助でリスト収集→人間確認</t>
        </is>
      </c>
      <c r="I14" s="5" t="n"/>
    </row>
    <row r="15">
      <c r="A15" s="9" t="inlineStr">
        <is>
          <t>営業</t>
        </is>
      </c>
      <c r="B15" s="5" t="inlineStr">
        <is>
          <t>T-20</t>
        </is>
      </c>
      <c r="C15" s="5" t="inlineStr">
        <is>
          <t>新規アプローチ(月5社)</t>
        </is>
      </c>
      <c r="D15" s="5" t="inlineStr">
        <is>
          <t>営業</t>
        </is>
      </c>
      <c r="E15" s="5" t="inlineStr">
        <is>
          <t>05/22</t>
        </is>
      </c>
      <c r="F15" s="19" t="inlineStr">
        <is>
          <t>中</t>
        </is>
      </c>
      <c r="G15" s="16" t="inlineStr">
        <is>
          <t>未着手</t>
        </is>
      </c>
      <c r="H15" s="5" t="inlineStr">
        <is>
          <t>リスト→アポ→提案</t>
        </is>
      </c>
      <c r="I15" s="5" t="n"/>
    </row>
    <row r="16">
      <c r="A16" s="9" t="inlineStr">
        <is>
          <t>営業</t>
        </is>
      </c>
      <c r="B16" s="5" t="inlineStr">
        <is>
          <t>T-18</t>
        </is>
      </c>
      <c r="C16" s="5" t="inlineStr">
        <is>
          <t>契約書テンプレート</t>
        </is>
      </c>
      <c r="D16" s="5" t="inlineStr">
        <is>
          <t>営業</t>
        </is>
      </c>
      <c r="E16" s="5" t="inlineStr">
        <is>
          <t>04/14</t>
        </is>
      </c>
      <c r="F16" s="18" t="inlineStr">
        <is>
          <t>高</t>
        </is>
      </c>
      <c r="G16" s="9" t="inlineStr">
        <is>
          <t>完了</t>
        </is>
      </c>
      <c r="H16" s="5" t="inlineStr">
        <is>
          <t>AIで草案→法務確認</t>
        </is>
      </c>
      <c r="I16" s="5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r="18">
      <c r="A18" s="15" t="inlineStr">
        <is>
          <t>PM</t>
        </is>
      </c>
      <c r="B18" s="5" t="inlineStr">
        <is>
          <t>T-09</t>
        </is>
      </c>
      <c r="C18" s="5" t="inlineStr">
        <is>
          <t>GA4セットアップ</t>
        </is>
      </c>
      <c r="D18" s="5" t="inlineStr">
        <is>
          <t>計測</t>
        </is>
      </c>
      <c r="E18" s="5" t="inlineStr">
        <is>
          <t>03/31</t>
        </is>
      </c>
      <c r="F18" s="18" t="inlineStr">
        <is>
          <t>高</t>
        </is>
      </c>
      <c r="G18" s="16" t="inlineStr">
        <is>
          <t>未着手</t>
        </is>
      </c>
      <c r="H18" s="5" t="inlineStr">
        <is>
          <t>エンジニアと連携→設定完了</t>
        </is>
      </c>
      <c r="I18" s="5" t="n"/>
    </row>
    <row r="19">
      <c r="A19" s="15" t="inlineStr">
        <is>
          <t>PM</t>
        </is>
      </c>
      <c r="B19" s="5" t="inlineStr">
        <is>
          <t>T-02</t>
        </is>
      </c>
      <c r="C19" s="5" t="inlineStr">
        <is>
          <t>KPI定義・計測開始</t>
        </is>
      </c>
      <c r="D19" s="5" t="inlineStr">
        <is>
          <t>計測</t>
        </is>
      </c>
      <c r="E19" s="5" t="inlineStr">
        <is>
          <t>04/07</t>
        </is>
      </c>
      <c r="F19" s="18" t="inlineStr">
        <is>
          <t>高</t>
        </is>
      </c>
      <c r="G19" s="16" t="inlineStr">
        <is>
          <t>未着手</t>
        </is>
      </c>
      <c r="H19" s="5" t="inlineStr">
        <is>
          <t>5項目選定→計測設計→稼働</t>
        </is>
      </c>
      <c r="I19" s="5" t="n"/>
    </row>
    <row r="20">
      <c r="A20" s="15" t="inlineStr">
        <is>
          <t>PM</t>
        </is>
      </c>
      <c r="B20" s="5" t="inlineStr">
        <is>
          <t>T-38</t>
        </is>
      </c>
      <c r="C20" s="5" t="inlineStr">
        <is>
          <t>週次KPIレポート開始</t>
        </is>
      </c>
      <c r="D20" s="5" t="inlineStr">
        <is>
          <t>計測</t>
        </is>
      </c>
      <c r="E20" s="5" t="inlineStr">
        <is>
          <t>04/21</t>
        </is>
      </c>
      <c r="F20" s="18" t="inlineStr">
        <is>
          <t>高</t>
        </is>
      </c>
      <c r="G20" s="9" t="inlineStr">
        <is>
          <t>完了</t>
        </is>
      </c>
      <c r="H20" s="5" t="inlineStr">
        <is>
          <t>テンプレート作成→毎週実施</t>
        </is>
      </c>
      <c r="I20" s="5" t="n"/>
    </row>
    <row r="21">
      <c r="A21" s="15" t="inlineStr">
        <is>
          <t>PM</t>
        </is>
      </c>
      <c r="B21" s="5" t="inlineStr">
        <is>
          <t>T-13</t>
        </is>
      </c>
      <c r="C21" s="5" t="inlineStr">
        <is>
          <t>CV率計測開始</t>
        </is>
      </c>
      <c r="D21" s="5" t="inlineStr">
        <is>
          <t>CV</t>
        </is>
      </c>
      <c r="E21" s="5" t="inlineStr">
        <is>
          <t>04/21</t>
        </is>
      </c>
      <c r="F21" s="19" t="inlineStr">
        <is>
          <t>中</t>
        </is>
      </c>
      <c r="G21" s="16" t="inlineStr">
        <is>
          <t>未着手</t>
        </is>
      </c>
      <c r="H21" s="5" t="inlineStr">
        <is>
          <t>GA4イベント→レポート化</t>
        </is>
      </c>
      <c r="I21" s="5" t="n"/>
    </row>
    <row r="22">
      <c r="A22" s="15" t="inlineStr">
        <is>
          <t>PM</t>
        </is>
      </c>
      <c r="B22" s="5" t="inlineStr">
        <is>
          <t>T-15</t>
        </is>
      </c>
      <c r="C22" s="5" t="inlineStr">
        <is>
          <t>データ活用ロードマップ</t>
        </is>
      </c>
      <c r="D22" s="5" t="inlineStr">
        <is>
          <t>データ</t>
        </is>
      </c>
      <c r="E22" s="5" t="inlineStr">
        <is>
          <t>06/08</t>
        </is>
      </c>
      <c r="F22" s="19" t="inlineStr">
        <is>
          <t>中</t>
        </is>
      </c>
      <c r="G22" s="9" t="inlineStr">
        <is>
          <t>完了</t>
        </is>
      </c>
      <c r="H22" s="5" t="inlineStr">
        <is>
          <t>AIでたたき台→経営判断</t>
        </is>
      </c>
      <c r="I22" s="5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r="24">
      <c r="A24" s="17" t="inlineStr">
        <is>
          <t>マーケ</t>
        </is>
      </c>
      <c r="B24" s="5" t="inlineStr">
        <is>
          <t>T-10</t>
        </is>
      </c>
      <c r="C24" s="5" t="inlineStr">
        <is>
          <t>YouTube概要欄CTA</t>
        </is>
      </c>
      <c r="D24" s="5" t="inlineStr">
        <is>
          <t>集客</t>
        </is>
      </c>
      <c r="E24" s="5" t="inlineStr">
        <is>
          <t>04/14</t>
        </is>
      </c>
      <c r="F24" s="18" t="inlineStr">
        <is>
          <t>高</t>
        </is>
      </c>
      <c r="G24" s="9" t="inlineStr">
        <is>
          <t>完了</t>
        </is>
      </c>
      <c r="H24" s="5" t="inlineStr">
        <is>
          <t>全動画にWeb導線テンプレ適用</t>
        </is>
      </c>
      <c r="I24" s="5" t="n"/>
    </row>
    <row r="25">
      <c r="A25" s="17" t="inlineStr">
        <is>
          <t>マーケ</t>
        </is>
      </c>
      <c r="B25" s="5" t="inlineStr">
        <is>
          <t>T-12</t>
        </is>
      </c>
      <c r="C25" s="5" t="inlineStr">
        <is>
          <t>LINE公式運用開始</t>
        </is>
      </c>
      <c r="D25" s="5" t="inlineStr">
        <is>
          <t>集客</t>
        </is>
      </c>
      <c r="E25" s="5" t="inlineStr">
        <is>
          <t>05/02</t>
        </is>
      </c>
      <c r="F25" s="19" t="inlineStr">
        <is>
          <t>中</t>
        </is>
      </c>
      <c r="G25" s="16" t="inlineStr">
        <is>
          <t>未着手</t>
        </is>
      </c>
      <c r="H25" s="5" t="inlineStr">
        <is>
          <t>開設→友だち追加導線→配信開始</t>
        </is>
      </c>
      <c r="I25" s="5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r="27">
      <c r="A27" s="14" t="inlineStr">
        <is>
          <t>コンテンツ</t>
        </is>
      </c>
      <c r="B27" s="5" t="inlineStr">
        <is>
          <t>T-25</t>
        </is>
      </c>
      <c r="C27" s="5" t="inlineStr">
        <is>
          <t>掲載基準策定</t>
        </is>
      </c>
      <c r="D27" s="5" t="inlineStr">
        <is>
          <t>品質</t>
        </is>
      </c>
      <c r="E27" s="5" t="inlineStr">
        <is>
          <t>03/31</t>
        </is>
      </c>
      <c r="F27" s="18" t="inlineStr">
        <is>
          <t>高</t>
        </is>
      </c>
      <c r="G27" s="9" t="inlineStr">
        <is>
          <t>完了</t>
        </is>
      </c>
      <c r="H27" s="5" t="inlineStr">
        <is>
          <t>AIでたたき台→レビュー→確定</t>
        </is>
      </c>
      <c r="I27" s="5" t="n"/>
    </row>
    <row r="28">
      <c r="A28" s="14" t="inlineStr">
        <is>
          <t>コンテンツ</t>
        </is>
      </c>
      <c r="B28" s="5" t="inlineStr">
        <is>
          <t>T-26</t>
        </is>
      </c>
      <c r="C28" s="5" t="inlineStr">
        <is>
          <t>全ページ文言監査</t>
        </is>
      </c>
      <c r="D28" s="5" t="inlineStr">
        <is>
          <t>品質</t>
        </is>
      </c>
      <c r="E28" s="5" t="inlineStr">
        <is>
          <t>04/07</t>
        </is>
      </c>
      <c r="F28" s="18" t="inlineStr">
        <is>
          <t>高</t>
        </is>
      </c>
      <c r="G28" s="9" t="inlineStr">
        <is>
          <t>完了</t>
        </is>
      </c>
      <c r="H28" s="5" t="inlineStr">
        <is>
          <t>AIで初期チェック→人間判定</t>
        </is>
      </c>
      <c r="I28" s="5" t="n"/>
    </row>
    <row r="29">
      <c r="A29" s="14" t="inlineStr">
        <is>
          <t>コンテンツ</t>
        </is>
      </c>
      <c r="B29" s="5" t="inlineStr">
        <is>
          <t>T-27</t>
        </is>
      </c>
      <c r="C29" s="5" t="inlineStr">
        <is>
          <t>再ヒアリング項目整理</t>
        </is>
      </c>
      <c r="D29" s="5" t="inlineStr">
        <is>
          <t>品質</t>
        </is>
      </c>
      <c r="E29" s="5" t="inlineStr">
        <is>
          <t>04/07</t>
        </is>
      </c>
      <c r="F29" s="18" t="inlineStr">
        <is>
          <t>高</t>
        </is>
      </c>
      <c r="G29" s="9" t="inlineStr">
        <is>
          <t>完了</t>
        </is>
      </c>
      <c r="H29" s="5" t="inlineStr">
        <is>
          <t>AIで草案→営業と連携</t>
        </is>
      </c>
      <c r="I29" s="5" t="n"/>
    </row>
    <row r="30">
      <c r="A30" s="14" t="inlineStr">
        <is>
          <t>コンテンツ</t>
        </is>
      </c>
      <c r="B30" s="5" t="inlineStr">
        <is>
          <t>T-21</t>
        </is>
      </c>
      <c r="C30" s="5" t="inlineStr">
        <is>
          <t>取材記事の実名化</t>
        </is>
      </c>
      <c r="D30" s="5" t="inlineStr">
        <is>
          <t>品質</t>
        </is>
      </c>
      <c r="E30" s="5" t="inlineStr">
        <is>
          <t>04/18</t>
        </is>
      </c>
      <c r="F30" s="18" t="inlineStr">
        <is>
          <t>高</t>
        </is>
      </c>
      <c r="G30" s="16" t="inlineStr">
        <is>
          <t>未着手</t>
        </is>
      </c>
      <c r="H30" s="5" t="inlineStr">
        <is>
          <t>取材先に連絡→許可→差し替え</t>
        </is>
      </c>
      <c r="I30" s="5" t="n"/>
    </row>
    <row r="31">
      <c r="A31" s="14" t="inlineStr">
        <is>
          <t>コンテンツ</t>
        </is>
      </c>
      <c r="B31" s="5" t="inlineStr">
        <is>
          <t>T-29</t>
        </is>
      </c>
      <c r="C31" s="5" t="inlineStr">
        <is>
          <t>リライト実施(5件)</t>
        </is>
      </c>
      <c r="D31" s="5" t="inlineStr">
        <is>
          <t>品質</t>
        </is>
      </c>
      <c r="E31" s="5" t="inlineStr">
        <is>
          <t>04/25</t>
        </is>
      </c>
      <c r="F31" s="19" t="inlineStr">
        <is>
          <t>中</t>
        </is>
      </c>
      <c r="G31" s="16" t="inlineStr">
        <is>
          <t>未着手</t>
        </is>
      </c>
      <c r="H31" s="5" t="inlineStr">
        <is>
          <t>AIで草案→人間レビュー→公開</t>
        </is>
      </c>
      <c r="I31" s="5" t="n"/>
    </row>
    <row r="32">
      <c r="A32" s="14" t="inlineStr">
        <is>
          <t>コンテンツ</t>
        </is>
      </c>
      <c r="B32" s="5" t="inlineStr">
        <is>
          <t>T-30</t>
        </is>
      </c>
      <c r="C32" s="5" t="inlineStr">
        <is>
          <t>SEOメタデータ一括入力</t>
        </is>
      </c>
      <c r="D32" s="5" t="inlineStr">
        <is>
          <t>品質</t>
        </is>
      </c>
      <c r="E32" s="5" t="inlineStr">
        <is>
          <t>05/02</t>
        </is>
      </c>
      <c r="F32" s="19" t="inlineStr">
        <is>
          <t>中</t>
        </is>
      </c>
      <c r="G32" s="9" t="inlineStr">
        <is>
          <t>完了</t>
        </is>
      </c>
      <c r="H32" s="5" t="inlineStr">
        <is>
          <t>AI一括生成(80件)→レビュー</t>
        </is>
      </c>
      <c r="I32" s="5" t="inlineStr">
        <is>
          <t>AI自動化◎</t>
        </is>
      </c>
    </row>
    <row r="33">
      <c r="A33" s="14" t="inlineStr">
        <is>
          <t>コンテンツ</t>
        </is>
      </c>
      <c r="B33" s="5" t="inlineStr">
        <is>
          <t>T-11</t>
        </is>
      </c>
      <c r="C33" s="5" t="inlineStr">
        <is>
          <t>SEO記事制作(月3本)</t>
        </is>
      </c>
      <c r="D33" s="5" t="inlineStr">
        <is>
          <t>集客</t>
        </is>
      </c>
      <c r="E33" s="5" t="inlineStr">
        <is>
          <t>05/15</t>
        </is>
      </c>
      <c r="F33" s="19" t="inlineStr">
        <is>
          <t>中</t>
        </is>
      </c>
      <c r="G33" s="9" t="inlineStr">
        <is>
          <t>完了</t>
        </is>
      </c>
      <c r="H33" s="5" t="inlineStr">
        <is>
          <t>AI下書き→事実確認→公開</t>
        </is>
      </c>
      <c r="I33" s="5" t="n"/>
    </row>
    <row r="34">
      <c r="A34" s="14" t="inlineStr">
        <is>
          <t>コンテンツ</t>
        </is>
      </c>
      <c r="B34" s="5" t="inlineStr">
        <is>
          <t>T-24</t>
        </is>
      </c>
      <c r="C34" s="5" t="inlineStr">
        <is>
          <t>FAQ整理(50問)</t>
        </is>
      </c>
      <c r="D34" s="5" t="inlineStr">
        <is>
          <t>コンテンツ</t>
        </is>
      </c>
      <c r="E34" s="5" t="inlineStr">
        <is>
          <t>06/08</t>
        </is>
      </c>
      <c r="F34" s="19" t="inlineStr">
        <is>
          <t>中</t>
        </is>
      </c>
      <c r="G34" s="9" t="inlineStr">
        <is>
          <t>完了</t>
        </is>
      </c>
      <c r="H34" s="5" t="inlineStr">
        <is>
          <t>AI一括生成→精査→RAG投入</t>
        </is>
      </c>
      <c r="I34" s="5" t="inlineStr">
        <is>
          <t>AI自動化◎</t>
        </is>
      </c>
    </row>
  </sheetData>
  <dataValidations count="1">
    <dataValidation sqref="G2:G60" showDropDown="0" showInputMessage="0" showErrorMessage="0" allowBlank="1" type="list">
      <formula1>"未着手,進行中,確認中,完了,保留"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8740C"/>
    <outlinePr summaryBelow="1" summaryRight="1"/>
    <pageSetUpPr/>
  </sheetPr>
  <dimension ref="A1:O5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35" customWidth="1" min="4" max="4"/>
    <col width="40" customWidth="1" min="5" max="5"/>
    <col width="20" customWidth="1" min="6" max="6"/>
    <col width="10" customWidth="1" min="7" max="7"/>
    <col width="6" customWidth="1" min="8" max="8"/>
    <col width="7" customWidth="1" min="9" max="9"/>
    <col width="7" customWidth="1" min="10" max="10"/>
    <col width="8" customWidth="1" min="11" max="11"/>
    <col width="6" customWidth="1" min="12" max="12"/>
    <col width="4" customWidth="1" min="13" max="13"/>
    <col width="20" customWidth="1" min="14" max="14"/>
    <col width="10" customWidth="1" min="15" max="15"/>
  </cols>
  <sheetData>
    <row r="1">
      <c r="A1" s="4" t="inlineStr">
        <is>
          <t>ID</t>
        </is>
      </c>
      <c r="B1" s="4" t="inlineStr">
        <is>
          <t>カテゴリ</t>
        </is>
      </c>
      <c r="C1" s="4" t="inlineStr">
        <is>
          <t>タスク名</t>
        </is>
      </c>
      <c r="D1" s="4" t="inlineStr">
        <is>
          <t>背景/目的</t>
        </is>
      </c>
      <c r="E1" s="4" t="inlineStr">
        <is>
          <t>具体的アクション</t>
        </is>
      </c>
      <c r="F1" s="4" t="inlineStr">
        <is>
          <t>成果物</t>
        </is>
      </c>
      <c r="G1" s="4" t="inlineStr">
        <is>
          <t>担当</t>
        </is>
      </c>
      <c r="H1" s="4" t="inlineStr">
        <is>
          <t>優先度</t>
        </is>
      </c>
      <c r="I1" s="4" t="inlineStr">
        <is>
          <t>開始日</t>
        </is>
      </c>
      <c r="J1" s="4" t="inlineStr">
        <is>
          <t>期限</t>
        </is>
      </c>
      <c r="K1" s="4" t="inlineStr">
        <is>
          <t>ステータス</t>
        </is>
      </c>
      <c r="L1" s="4" t="inlineStr">
        <is>
          <t>進捗%</t>
        </is>
      </c>
      <c r="M1" s="4" t="inlineStr">
        <is>
          <t>自動化</t>
        </is>
      </c>
      <c r="N1" s="4" t="inlineStr">
        <is>
          <t>メモ</t>
        </is>
      </c>
      <c r="O1" s="4" t="inlineStr">
        <is>
          <t>追加日</t>
        </is>
      </c>
    </row>
    <row r="2">
      <c r="A2" s="5" t="inlineStr">
        <is>
          <t>T-01</t>
        </is>
      </c>
      <c r="B2" s="5" t="inlineStr">
        <is>
          <t>収益</t>
        </is>
      </c>
      <c r="C2" s="5" t="inlineStr">
        <is>
          <t>収益モデル初期検証</t>
        </is>
      </c>
      <c r="D2" s="5" t="inlineStr">
        <is>
          <t>全収益モデルが未検証</t>
        </is>
      </c>
      <c r="E2" s="5" t="inlineStr">
        <is>
          <t>反響課金で最初の1件を有料実施→単価・オペレーション検証</t>
        </is>
      </c>
      <c r="F2" s="5" t="inlineStr">
        <is>
          <t>検証結果レポート</t>
        </is>
      </c>
      <c r="G2" s="5" t="inlineStr">
        <is>
          <t>経営</t>
        </is>
      </c>
      <c r="H2" s="18" t="inlineStr">
        <is>
          <t>高</t>
        </is>
      </c>
      <c r="I2" s="5" t="inlineStr">
        <is>
          <t>05/18</t>
        </is>
      </c>
      <c r="J2" s="5" t="inlineStr">
        <is>
          <t>06/05</t>
        </is>
      </c>
      <c r="K2" s="16" t="inlineStr">
        <is>
          <t>未着手</t>
        </is>
      </c>
      <c r="L2" s="5" t="n">
        <v>0</v>
      </c>
      <c r="M2" s="5" t="inlineStr">
        <is>
          <t>D</t>
        </is>
      </c>
      <c r="N2" s="5" t="n"/>
      <c r="O2" s="5" t="inlineStr">
        <is>
          <t>2026-03-22</t>
        </is>
      </c>
    </row>
    <row r="3">
      <c r="A3" s="5" t="inlineStr">
        <is>
          <t>T-02</t>
        </is>
      </c>
      <c r="B3" s="5" t="inlineStr">
        <is>
          <t>計測</t>
        </is>
      </c>
      <c r="C3" s="5" t="inlineStr">
        <is>
          <t>KPI定義・計測開始</t>
        </is>
      </c>
      <c r="D3" s="5" t="inlineStr">
        <is>
          <t>KPIが定義済みだが計測未開始</t>
        </is>
      </c>
      <c r="E3" s="5" t="inlineStr">
        <is>
          <t>主要5項目選定→計測設計→週次追跡</t>
        </is>
      </c>
      <c r="F3" s="5" t="inlineStr">
        <is>
          <t>KPI一覧・計測設計書</t>
        </is>
      </c>
      <c r="G3" s="5" t="inlineStr">
        <is>
          <t>PM</t>
        </is>
      </c>
      <c r="H3" s="18" t="inlineStr">
        <is>
          <t>高</t>
        </is>
      </c>
      <c r="I3" s="5" t="inlineStr">
        <is>
          <t>03/31</t>
        </is>
      </c>
      <c r="J3" s="5" t="inlineStr">
        <is>
          <t>04/07</t>
        </is>
      </c>
      <c r="K3" s="16" t="inlineStr">
        <is>
          <t>未着手</t>
        </is>
      </c>
      <c r="L3" s="5" t="n">
        <v>0</v>
      </c>
      <c r="M3" s="5" t="inlineStr">
        <is>
          <t>B</t>
        </is>
      </c>
      <c r="N3" s="5" t="n"/>
      <c r="O3" s="5" t="inlineStr">
        <is>
          <t>2026-03-22</t>
        </is>
      </c>
    </row>
    <row r="4">
      <c r="A4" s="5" t="inlineStr">
        <is>
          <t>T-03</t>
        </is>
      </c>
      <c r="B4" s="5" t="inlineStr">
        <is>
          <t>戦略</t>
        </is>
      </c>
      <c r="C4" s="5" t="inlineStr">
        <is>
          <t>月次P/L作成</t>
        </is>
      </c>
      <c r="D4" s="5" t="inlineStr">
        <is>
          <t>収支が見える化されていない</t>
        </is>
      </c>
      <c r="E4" s="5" t="inlineStr">
        <is>
          <t>月次の収入支出を整理→損益把握</t>
        </is>
      </c>
      <c r="F4" s="5" t="inlineStr">
        <is>
          <t>P/Lテンプレート</t>
        </is>
      </c>
      <c r="G4" s="5" t="inlineStr">
        <is>
          <t>経営</t>
        </is>
      </c>
      <c r="H4" s="18" t="inlineStr">
        <is>
          <t>高</t>
        </is>
      </c>
      <c r="I4" s="5" t="inlineStr">
        <is>
          <t>05/18</t>
        </is>
      </c>
      <c r="J4" s="5" t="inlineStr">
        <is>
          <t>05/25</t>
        </is>
      </c>
      <c r="K4" s="9" t="inlineStr">
        <is>
          <t>完了</t>
        </is>
      </c>
      <c r="L4" s="5" t="n">
        <v>1</v>
      </c>
      <c r="M4" s="5" t="inlineStr">
        <is>
          <t>B</t>
        </is>
      </c>
      <c r="N4" s="5" t="n"/>
      <c r="O4" s="5" t="inlineStr">
        <is>
          <t>2026-03-22</t>
        </is>
      </c>
    </row>
    <row r="5">
      <c r="A5" s="5" t="inlineStr">
        <is>
          <t>T-04</t>
        </is>
      </c>
      <c r="B5" s="5" t="inlineStr">
        <is>
          <t>戦略</t>
        </is>
      </c>
      <c r="C5" s="5" t="inlineStr">
        <is>
          <t>ペルソナ3パターン作成</t>
        </is>
      </c>
      <c r="D5" s="5" t="inlineStr">
        <is>
          <t>YouTube実データはあるがペルソナ未言語化</t>
        </is>
      </c>
      <c r="E5" s="5" t="inlineStr">
        <is>
          <t>55-64歳/45-54歳/35-44歳の3パターン具体化</t>
        </is>
      </c>
      <c r="F5" s="5" t="inlineStr">
        <is>
          <t>ペルソナカード3枚</t>
        </is>
      </c>
      <c r="G5" s="5" t="inlineStr">
        <is>
          <t>経営</t>
        </is>
      </c>
      <c r="H5" s="18" t="inlineStr">
        <is>
          <t>高</t>
        </is>
      </c>
      <c r="I5" s="5" t="inlineStr">
        <is>
          <t>03/31</t>
        </is>
      </c>
      <c r="J5" s="5" t="inlineStr">
        <is>
          <t>04/07</t>
        </is>
      </c>
      <c r="K5" s="9" t="inlineStr">
        <is>
          <t>完了</t>
        </is>
      </c>
      <c r="L5" s="5" t="n">
        <v>1</v>
      </c>
      <c r="M5" s="5" t="inlineStr">
        <is>
          <t>B</t>
        </is>
      </c>
      <c r="N5" s="5" t="n"/>
      <c r="O5" s="5" t="inlineStr">
        <is>
          <t>2026-03-22</t>
        </is>
      </c>
    </row>
    <row r="6">
      <c r="A6" s="5" t="inlineStr">
        <is>
          <t>T-05</t>
        </is>
      </c>
      <c r="B6" s="5" t="inlineStr">
        <is>
          <t>戦略</t>
        </is>
      </c>
      <c r="C6" s="5" t="inlineStr">
        <is>
          <t>工務店ターゲットリスト50社</t>
        </is>
      </c>
      <c r="D6" s="5" t="inlineStr">
        <is>
          <t>営業先リストが存在しない</t>
        </is>
      </c>
      <c r="E6" s="5" t="inlineStr">
        <is>
          <t>鹿児島・福岡中心に50社リスト作成</t>
        </is>
      </c>
      <c r="F6" s="5" t="inlineStr">
        <is>
          <t>ターゲットリスト</t>
        </is>
      </c>
      <c r="G6" s="5" t="inlineStr">
        <is>
          <t>営業</t>
        </is>
      </c>
      <c r="H6" s="19" t="inlineStr">
        <is>
          <t>中</t>
        </is>
      </c>
      <c r="I6" s="5" t="inlineStr">
        <is>
          <t>04/21</t>
        </is>
      </c>
      <c r="J6" s="5" t="inlineStr">
        <is>
          <t>05/02</t>
        </is>
      </c>
      <c r="K6" s="16" t="inlineStr">
        <is>
          <t>未着手</t>
        </is>
      </c>
      <c r="L6" s="5" t="n">
        <v>0</v>
      </c>
      <c r="M6" s="5" t="inlineStr">
        <is>
          <t>C</t>
        </is>
      </c>
      <c r="N6" s="5" t="n"/>
      <c r="O6" s="5" t="inlineStr">
        <is>
          <t>2026-03-22</t>
        </is>
      </c>
    </row>
    <row r="7">
      <c r="A7" s="5" t="inlineStr">
        <is>
          <t>T-06</t>
        </is>
      </c>
      <c r="B7" s="5" t="inlineStr">
        <is>
          <t>戦略</t>
        </is>
      </c>
      <c r="C7" s="5" t="inlineStr">
        <is>
          <t>エレベーターピッチ作成</t>
        </is>
      </c>
      <c r="D7" s="5" t="inlineStr">
        <is>
          <t>30秒で事業を説明できる言葉がない</t>
        </is>
      </c>
      <c r="E7" s="5" t="inlineStr">
        <is>
          <t>消費者向け/工務店向け2パターン</t>
        </is>
      </c>
      <c r="F7" s="5" t="inlineStr">
        <is>
          <t>ピッチ文書</t>
        </is>
      </c>
      <c r="G7" s="5" t="inlineStr">
        <is>
          <t>経営</t>
        </is>
      </c>
      <c r="H7" s="18" t="inlineStr">
        <is>
          <t>高</t>
        </is>
      </c>
      <c r="I7" s="5" t="inlineStr">
        <is>
          <t>03/24</t>
        </is>
      </c>
      <c r="J7" s="5" t="inlineStr">
        <is>
          <t>03/28</t>
        </is>
      </c>
      <c r="K7" s="9" t="inlineStr">
        <is>
          <t>完了</t>
        </is>
      </c>
      <c r="L7" s="5" t="n">
        <v>1</v>
      </c>
      <c r="M7" s="5" t="inlineStr">
        <is>
          <t>B</t>
        </is>
      </c>
      <c r="N7" s="5" t="n"/>
      <c r="O7" s="5" t="inlineStr">
        <is>
          <t>2026-03-22</t>
        </is>
      </c>
    </row>
    <row r="8">
      <c r="A8" s="5" t="inlineStr">
        <is>
          <t>T-07</t>
        </is>
      </c>
      <c r="B8" s="5" t="inlineStr">
        <is>
          <t>営業</t>
        </is>
      </c>
      <c r="C8" s="5" t="inlineStr">
        <is>
          <t>営業提案書作成</t>
        </is>
      </c>
      <c r="D8" s="5" t="inlineStr">
        <is>
          <t>営業資料がない</t>
        </is>
      </c>
      <c r="E8" s="5" t="inlineStr">
        <is>
          <t>10-15P提案書(事業概要/プラン/料金)</t>
        </is>
      </c>
      <c r="F8" s="5" t="inlineStr">
        <is>
          <t>提案書PDF</t>
        </is>
      </c>
      <c r="G8" s="5" t="inlineStr">
        <is>
          <t>経営</t>
        </is>
      </c>
      <c r="H8" s="18" t="inlineStr">
        <is>
          <t>高</t>
        </is>
      </c>
      <c r="I8" s="5" t="inlineStr">
        <is>
          <t>03/24</t>
        </is>
      </c>
      <c r="J8" s="5" t="inlineStr">
        <is>
          <t>04/04</t>
        </is>
      </c>
      <c r="K8" s="9" t="inlineStr">
        <is>
          <t>完了</t>
        </is>
      </c>
      <c r="L8" s="5" t="n">
        <v>1</v>
      </c>
      <c r="M8" s="5" t="inlineStr">
        <is>
          <t>B</t>
        </is>
      </c>
      <c r="N8" s="5" t="n"/>
      <c r="O8" s="5" t="inlineStr">
        <is>
          <t>2026-03-22</t>
        </is>
      </c>
    </row>
    <row r="9">
      <c r="A9" s="5" t="inlineStr">
        <is>
          <t>T-08</t>
        </is>
      </c>
      <c r="B9" s="5" t="inlineStr">
        <is>
          <t>収益</t>
        </is>
      </c>
      <c r="C9" s="5" t="inlineStr">
        <is>
          <t>料金プラン確定</t>
        </is>
      </c>
      <c r="D9" s="5" t="inlineStr">
        <is>
          <t>料金が仮設定</t>
        </is>
      </c>
      <c r="E9" s="5" t="inlineStr">
        <is>
          <t>3プランの価格・内容を確定</t>
        </is>
      </c>
      <c r="F9" s="5" t="inlineStr">
        <is>
          <t>料金プラン表</t>
        </is>
      </c>
      <c r="G9" s="5" t="inlineStr">
        <is>
          <t>経営</t>
        </is>
      </c>
      <c r="H9" s="18" t="inlineStr">
        <is>
          <t>高</t>
        </is>
      </c>
      <c r="I9" s="5" t="inlineStr">
        <is>
          <t>03/31</t>
        </is>
      </c>
      <c r="J9" s="5" t="inlineStr">
        <is>
          <t>04/07</t>
        </is>
      </c>
      <c r="K9" s="16" t="inlineStr">
        <is>
          <t>未着手</t>
        </is>
      </c>
      <c r="L9" s="5" t="n">
        <v>0</v>
      </c>
      <c r="M9" s="5" t="inlineStr">
        <is>
          <t>D</t>
        </is>
      </c>
      <c r="N9" s="5" t="n"/>
      <c r="O9" s="5" t="inlineStr">
        <is>
          <t>2026-03-22</t>
        </is>
      </c>
    </row>
    <row r="10">
      <c r="A10" s="5" t="inlineStr">
        <is>
          <t>T-09</t>
        </is>
      </c>
      <c r="B10" s="5" t="inlineStr">
        <is>
          <t>計測</t>
        </is>
      </c>
      <c r="C10" s="5" t="inlineStr">
        <is>
          <t>GA4セットアップ</t>
        </is>
      </c>
      <c r="D10" s="5" t="inlineStr">
        <is>
          <t>Webアクセスデータが取れていない</t>
        </is>
      </c>
      <c r="E10" s="5" t="inlineStr">
        <is>
          <t>GA4初期設定→主要イベント計測開始</t>
        </is>
      </c>
      <c r="F10" s="5" t="inlineStr">
        <is>
          <t>GA4稼働</t>
        </is>
      </c>
      <c r="G10" s="5" t="inlineStr">
        <is>
          <t>PM</t>
        </is>
      </c>
      <c r="H10" s="18" t="inlineStr">
        <is>
          <t>高</t>
        </is>
      </c>
      <c r="I10" s="5" t="inlineStr">
        <is>
          <t>03/24</t>
        </is>
      </c>
      <c r="J10" s="5" t="inlineStr">
        <is>
          <t>03/31</t>
        </is>
      </c>
      <c r="K10" s="16" t="inlineStr">
        <is>
          <t>未着手</t>
        </is>
      </c>
      <c r="L10" s="5" t="n">
        <v>0</v>
      </c>
      <c r="M10" s="5" t="inlineStr">
        <is>
          <t>C</t>
        </is>
      </c>
      <c r="N10" s="5" t="n"/>
      <c r="O10" s="5" t="inlineStr">
        <is>
          <t>2026-03-22</t>
        </is>
      </c>
    </row>
    <row r="11">
      <c r="A11" s="5" t="inlineStr">
        <is>
          <t>T-10</t>
        </is>
      </c>
      <c r="B11" s="5" t="inlineStr">
        <is>
          <t>集客</t>
        </is>
      </c>
      <c r="C11" s="5" t="inlineStr">
        <is>
          <t>YouTube概要欄CTA最適化</t>
        </is>
      </c>
      <c r="D11" s="5" t="inlineStr">
        <is>
          <t>YouTube→Web送客導線が未最適化</t>
        </is>
      </c>
      <c r="E11" s="5" t="inlineStr">
        <is>
          <t>全動画概要欄にURL+CTA追加</t>
        </is>
      </c>
      <c r="F11" s="5" t="inlineStr">
        <is>
          <t>概要欄テンプレート</t>
        </is>
      </c>
      <c r="G11" s="5" t="inlineStr">
        <is>
          <t>マーケ</t>
        </is>
      </c>
      <c r="H11" s="18" t="inlineStr">
        <is>
          <t>高</t>
        </is>
      </c>
      <c r="I11" s="5" t="inlineStr">
        <is>
          <t>04/07</t>
        </is>
      </c>
      <c r="J11" s="5" t="inlineStr">
        <is>
          <t>04/14</t>
        </is>
      </c>
      <c r="K11" s="9" t="inlineStr">
        <is>
          <t>完了</t>
        </is>
      </c>
      <c r="L11" s="5" t="n">
        <v>1</v>
      </c>
      <c r="M11" s="5" t="inlineStr">
        <is>
          <t>B</t>
        </is>
      </c>
      <c r="N11" s="5" t="n"/>
      <c r="O11" s="5" t="inlineStr">
        <is>
          <t>2026-03-22</t>
        </is>
      </c>
    </row>
    <row r="12">
      <c r="A12" s="5" t="inlineStr">
        <is>
          <t>T-11</t>
        </is>
      </c>
      <c r="B12" s="5" t="inlineStr">
        <is>
          <t>集客</t>
        </is>
      </c>
      <c r="C12" s="5" t="inlineStr">
        <is>
          <t>SEO記事追加(月3本)</t>
        </is>
      </c>
      <c r="D12" s="5" t="inlineStr">
        <is>
          <t>検索流入が未開拓</t>
        </is>
      </c>
      <c r="E12" s="5" t="inlineStr">
        <is>
          <t>キーワード調査→構成→下書き→公開</t>
        </is>
      </c>
      <c r="F12" s="5" t="inlineStr">
        <is>
          <t>記事3本/月</t>
        </is>
      </c>
      <c r="G12" s="5" t="inlineStr">
        <is>
          <t>コンテンツ</t>
        </is>
      </c>
      <c r="H12" s="19" t="inlineStr">
        <is>
          <t>中</t>
        </is>
      </c>
      <c r="I12" s="5" t="inlineStr">
        <is>
          <t>04/21</t>
        </is>
      </c>
      <c r="J12" s="5" t="inlineStr">
        <is>
          <t>05/15</t>
        </is>
      </c>
      <c r="K12" s="9" t="inlineStr">
        <is>
          <t>完了</t>
        </is>
      </c>
      <c r="L12" s="5" t="n">
        <v>1</v>
      </c>
      <c r="M12" s="5" t="inlineStr">
        <is>
          <t>B</t>
        </is>
      </c>
      <c r="N12" s="5" t="n"/>
      <c r="O12" s="5" t="inlineStr">
        <is>
          <t>2026-03-22</t>
        </is>
      </c>
    </row>
    <row r="13">
      <c r="A13" s="5" t="inlineStr">
        <is>
          <t>T-12</t>
        </is>
      </c>
      <c r="B13" s="5" t="inlineStr">
        <is>
          <t>集客</t>
        </is>
      </c>
      <c r="C13" s="5" t="inlineStr">
        <is>
          <t>LINE公式運用開始</t>
        </is>
      </c>
      <c r="D13" s="5" t="inlineStr">
        <is>
          <t>LINEでのCRM未稼働</t>
        </is>
      </c>
      <c r="E13" s="5" t="inlineStr">
        <is>
          <t>開設→友だち追加導線→週次配信</t>
        </is>
      </c>
      <c r="F13" s="5" t="inlineStr">
        <is>
          <t>LINE運用計画</t>
        </is>
      </c>
      <c r="G13" s="5" t="inlineStr">
        <is>
          <t>マーケ</t>
        </is>
      </c>
      <c r="H13" s="19" t="inlineStr">
        <is>
          <t>中</t>
        </is>
      </c>
      <c r="I13" s="5" t="inlineStr">
        <is>
          <t>04/21</t>
        </is>
      </c>
      <c r="J13" s="5" t="inlineStr">
        <is>
          <t>05/02</t>
        </is>
      </c>
      <c r="K13" s="16" t="inlineStr">
        <is>
          <t>未着手</t>
        </is>
      </c>
      <c r="L13" s="5" t="n">
        <v>0</v>
      </c>
      <c r="M13" s="5" t="inlineStr">
        <is>
          <t>C</t>
        </is>
      </c>
      <c r="N13" s="5" t="n"/>
      <c r="O13" s="5" t="inlineStr">
        <is>
          <t>2026-03-22</t>
        </is>
      </c>
    </row>
    <row r="14">
      <c r="A14" s="5" t="inlineStr">
        <is>
          <t>T-13</t>
        </is>
      </c>
      <c r="B14" s="5" t="inlineStr">
        <is>
          <t>CV</t>
        </is>
      </c>
      <c r="C14" s="5" t="inlineStr">
        <is>
          <t>CV率計測・分析開始</t>
        </is>
      </c>
      <c r="D14" s="5" t="inlineStr">
        <is>
          <t>CV率が不明</t>
        </is>
      </c>
      <c r="E14" s="5" t="inlineStr">
        <is>
          <t>各フォームCV率+チャット転換率を計測</t>
        </is>
      </c>
      <c r="F14" s="5" t="inlineStr">
        <is>
          <t>CV率レポート</t>
        </is>
      </c>
      <c r="G14" s="5" t="inlineStr">
        <is>
          <t>PM</t>
        </is>
      </c>
      <c r="H14" s="18" t="inlineStr">
        <is>
          <t>高</t>
        </is>
      </c>
      <c r="I14" s="5" t="inlineStr">
        <is>
          <t>04/14</t>
        </is>
      </c>
      <c r="J14" s="5" t="inlineStr">
        <is>
          <t>04/21</t>
        </is>
      </c>
      <c r="K14" s="16" t="inlineStr">
        <is>
          <t>未着手</t>
        </is>
      </c>
      <c r="L14" s="5" t="n">
        <v>0</v>
      </c>
      <c r="M14" s="5" t="inlineStr">
        <is>
          <t>B</t>
        </is>
      </c>
      <c r="N14" s="5" t="n"/>
      <c r="O14" s="5" t="inlineStr">
        <is>
          <t>2026-03-22</t>
        </is>
      </c>
    </row>
    <row r="15">
      <c r="A15" s="5" t="inlineStr">
        <is>
          <t>T-14</t>
        </is>
      </c>
      <c r="B15" s="5" t="inlineStr">
        <is>
          <t>CV</t>
        </is>
      </c>
      <c r="C15" s="5" t="inlineStr">
        <is>
          <t>フォーム離脱率分析</t>
        </is>
      </c>
      <c r="D15" s="5" t="inlineStr">
        <is>
          <t>離脱ポイント不明</t>
        </is>
      </c>
      <c r="E15" s="5" t="inlineStr">
        <is>
          <t>GA4でフォーム到達→送信の離脱率計測</t>
        </is>
      </c>
      <c r="F15" s="5" t="inlineStr">
        <is>
          <t>離脱分析レポート</t>
        </is>
      </c>
      <c r="G15" s="5" t="inlineStr">
        <is>
          <t>PM</t>
        </is>
      </c>
      <c r="H15" s="19" t="inlineStr">
        <is>
          <t>中</t>
        </is>
      </c>
      <c r="I15" s="5" t="inlineStr">
        <is>
          <t>05/18</t>
        </is>
      </c>
      <c r="J15" s="5" t="inlineStr">
        <is>
          <t>06/01</t>
        </is>
      </c>
      <c r="K15" s="16" t="inlineStr">
        <is>
          <t>未着手</t>
        </is>
      </c>
      <c r="L15" s="5" t="n">
        <v>0</v>
      </c>
      <c r="M15" s="5" t="inlineStr">
        <is>
          <t>C</t>
        </is>
      </c>
      <c r="N15" s="5" t="n"/>
      <c r="O15" s="5" t="inlineStr">
        <is>
          <t>2026-03-22</t>
        </is>
      </c>
    </row>
    <row r="16">
      <c r="A16" s="5" t="inlineStr">
        <is>
          <t>T-15</t>
        </is>
      </c>
      <c r="B16" s="5" t="inlineStr">
        <is>
          <t>データ</t>
        </is>
      </c>
      <c r="C16" s="5" t="inlineStr">
        <is>
          <t>データ活用ロードマップ</t>
        </is>
      </c>
      <c r="D16" s="5" t="inlineStr">
        <is>
          <t>データ活用方針が未確定</t>
        </is>
      </c>
      <c r="E16" s="5" t="inlineStr">
        <is>
          <t>四半期ごとの活用計画定義</t>
        </is>
      </c>
      <c r="F16" s="5" t="inlineStr">
        <is>
          <t>ロードマップ文書</t>
        </is>
      </c>
      <c r="G16" s="5" t="inlineStr">
        <is>
          <t>PM</t>
        </is>
      </c>
      <c r="H16" s="19" t="inlineStr">
        <is>
          <t>中</t>
        </is>
      </c>
      <c r="I16" s="5" t="inlineStr">
        <is>
          <t>05/25</t>
        </is>
      </c>
      <c r="J16" s="5" t="inlineStr">
        <is>
          <t>06/08</t>
        </is>
      </c>
      <c r="K16" s="9" t="inlineStr">
        <is>
          <t>完了</t>
        </is>
      </c>
      <c r="L16" s="5" t="n">
        <v>1</v>
      </c>
      <c r="M16" s="5" t="inlineStr">
        <is>
          <t>B</t>
        </is>
      </c>
      <c r="N16" s="5" t="n"/>
      <c r="O16" s="5" t="inlineStr">
        <is>
          <t>2026-03-22</t>
        </is>
      </c>
    </row>
    <row r="17">
      <c r="A17" s="5" t="inlineStr">
        <is>
          <t>T-16</t>
        </is>
      </c>
      <c r="B17" s="5" t="inlineStr">
        <is>
          <t>データ</t>
        </is>
      </c>
      <c r="C17" s="5" t="inlineStr">
        <is>
          <t>月次データレポート作成</t>
        </is>
      </c>
      <c r="D17" s="5" t="inlineStr">
        <is>
          <t>分析レポートの仕組みなし</t>
        </is>
      </c>
      <c r="E17" s="5" t="inlineStr">
        <is>
          <t>行動/チャット/CV/リード品質の雛形</t>
        </is>
      </c>
      <c r="F17" s="5" t="inlineStr">
        <is>
          <t>レポートテンプレート</t>
        </is>
      </c>
      <c r="G17" s="5" t="inlineStr">
        <is>
          <t>PM</t>
        </is>
      </c>
      <c r="H17" s="19" t="inlineStr">
        <is>
          <t>中</t>
        </is>
      </c>
      <c r="I17" s="5" t="inlineStr">
        <is>
          <t>06/01</t>
        </is>
      </c>
      <c r="J17" s="5" t="inlineStr">
        <is>
          <t>06/15</t>
        </is>
      </c>
      <c r="K17" s="9" t="inlineStr">
        <is>
          <t>完了</t>
        </is>
      </c>
      <c r="L17" s="5" t="n">
        <v>1</v>
      </c>
      <c r="M17" s="5" t="inlineStr">
        <is>
          <t>A</t>
        </is>
      </c>
      <c r="N17" s="5" t="n"/>
      <c r="O17" s="5" t="inlineStr">
        <is>
          <t>2026-03-22</t>
        </is>
      </c>
    </row>
    <row r="18">
      <c r="A18" s="5" t="inlineStr">
        <is>
          <t>T-17</t>
        </is>
      </c>
      <c r="B18" s="5" t="inlineStr">
        <is>
          <t>営業</t>
        </is>
      </c>
      <c r="C18" s="5" t="inlineStr">
        <is>
          <t>営業提案フロー設計</t>
        </is>
      </c>
      <c r="D18" s="5" t="inlineStr">
        <is>
          <t>提案→契約フロー未設計</t>
        </is>
      </c>
      <c r="E18" s="5" t="inlineStr">
        <is>
          <t>初回接触→提案→トライアル→契約</t>
        </is>
      </c>
      <c r="F18" s="5" t="inlineStr">
        <is>
          <t>営業フロー図</t>
        </is>
      </c>
      <c r="G18" s="5" t="inlineStr">
        <is>
          <t>経営</t>
        </is>
      </c>
      <c r="H18" s="18" t="inlineStr">
        <is>
          <t>高</t>
        </is>
      </c>
      <c r="I18" s="5" t="inlineStr">
        <is>
          <t>03/31</t>
        </is>
      </c>
      <c r="J18" s="5" t="inlineStr">
        <is>
          <t>04/07</t>
        </is>
      </c>
      <c r="K18" s="9" t="inlineStr">
        <is>
          <t>完了</t>
        </is>
      </c>
      <c r="L18" s="5" t="n">
        <v>1</v>
      </c>
      <c r="M18" s="5" t="inlineStr">
        <is>
          <t>B</t>
        </is>
      </c>
      <c r="N18" s="5" t="n"/>
      <c r="O18" s="5" t="inlineStr">
        <is>
          <t>2026-03-22</t>
        </is>
      </c>
    </row>
    <row r="19">
      <c r="A19" s="5" t="inlineStr">
        <is>
          <t>T-18</t>
        </is>
      </c>
      <c r="B19" s="5" t="inlineStr">
        <is>
          <t>営業</t>
        </is>
      </c>
      <c r="C19" s="5" t="inlineStr">
        <is>
          <t>契約書テンプレート作成</t>
        </is>
      </c>
      <c r="D19" s="5" t="inlineStr">
        <is>
          <t>契約書がない</t>
        </is>
      </c>
      <c r="E19" s="5" t="inlineStr">
        <is>
          <t>掲載契約/反響課金契約テンプレート</t>
        </is>
      </c>
      <c r="F19" s="5" t="inlineStr">
        <is>
          <t>契約書テンプレート</t>
        </is>
      </c>
      <c r="G19" s="5" t="inlineStr">
        <is>
          <t>経営</t>
        </is>
      </c>
      <c r="H19" s="18" t="inlineStr">
        <is>
          <t>高</t>
        </is>
      </c>
      <c r="I19" s="5" t="inlineStr">
        <is>
          <t>04/07</t>
        </is>
      </c>
      <c r="J19" s="5" t="inlineStr">
        <is>
          <t>04/14</t>
        </is>
      </c>
      <c r="K19" s="9" t="inlineStr">
        <is>
          <t>完了</t>
        </is>
      </c>
      <c r="L19" s="5" t="n">
        <v>1</v>
      </c>
      <c r="M19" s="5" t="inlineStr">
        <is>
          <t>B</t>
        </is>
      </c>
      <c r="N19" s="5" t="n"/>
      <c r="O19" s="5" t="inlineStr">
        <is>
          <t>2026-03-22</t>
        </is>
      </c>
    </row>
    <row r="20">
      <c r="A20" s="5" t="inlineStr">
        <is>
          <t>T-19</t>
        </is>
      </c>
      <c r="B20" s="5" t="inlineStr">
        <is>
          <t>営業</t>
        </is>
      </c>
      <c r="C20" s="5" t="inlineStr">
        <is>
          <t>既存取材先へのパートナー提案</t>
        </is>
      </c>
      <c r="D20" s="5" t="inlineStr">
        <is>
          <t>取材関係のみで有料化していない</t>
        </is>
      </c>
      <c r="E20" s="5" t="inlineStr">
        <is>
          <t>取材実績工務店にプラン提案</t>
        </is>
      </c>
      <c r="F20" s="5" t="inlineStr">
        <is>
          <t>提案記録</t>
        </is>
      </c>
      <c r="G20" s="5" t="inlineStr">
        <is>
          <t>経営</t>
        </is>
      </c>
      <c r="H20" s="18" t="inlineStr">
        <is>
          <t>高</t>
        </is>
      </c>
      <c r="I20" s="5" t="inlineStr">
        <is>
          <t>04/07</t>
        </is>
      </c>
      <c r="J20" s="5" t="inlineStr">
        <is>
          <t>04/18</t>
        </is>
      </c>
      <c r="K20" s="16" t="inlineStr">
        <is>
          <t>未着手</t>
        </is>
      </c>
      <c r="L20" s="5" t="n">
        <v>0</v>
      </c>
      <c r="M20" s="5" t="inlineStr">
        <is>
          <t>D</t>
        </is>
      </c>
      <c r="N20" s="5" t="n"/>
      <c r="O20" s="5" t="inlineStr">
        <is>
          <t>2026-03-22</t>
        </is>
      </c>
    </row>
    <row r="21">
      <c r="A21" s="5" t="inlineStr">
        <is>
          <t>T-20</t>
        </is>
      </c>
      <c r="B21" s="5" t="inlineStr">
        <is>
          <t>営業</t>
        </is>
      </c>
      <c r="C21" s="5" t="inlineStr">
        <is>
          <t>新規工務店アプローチ(月5社)</t>
        </is>
      </c>
      <c r="D21" s="5" t="inlineStr">
        <is>
          <t>新規営業先がない</t>
        </is>
      </c>
      <c r="E21" s="5" t="inlineStr">
        <is>
          <t>リスト→月5社アプローチ</t>
        </is>
      </c>
      <c r="F21" s="5" t="inlineStr">
        <is>
          <t>営業活動記録</t>
        </is>
      </c>
      <c r="G21" s="5" t="inlineStr">
        <is>
          <t>営業</t>
        </is>
      </c>
      <c r="H21" s="19" t="inlineStr">
        <is>
          <t>中</t>
        </is>
      </c>
      <c r="I21" s="5" t="inlineStr">
        <is>
          <t>04/28</t>
        </is>
      </c>
      <c r="J21" s="5" t="inlineStr">
        <is>
          <t>05/22</t>
        </is>
      </c>
      <c r="K21" s="16" t="inlineStr">
        <is>
          <t>未着手</t>
        </is>
      </c>
      <c r="L21" s="5" t="n">
        <v>0</v>
      </c>
      <c r="M21" s="5" t="inlineStr">
        <is>
          <t>D</t>
        </is>
      </c>
      <c r="N21" s="5" t="n"/>
      <c r="O21" s="5" t="inlineStr">
        <is>
          <t>2026-03-22</t>
        </is>
      </c>
    </row>
    <row r="22">
      <c r="A22" s="5" t="inlineStr">
        <is>
          <t>T-21</t>
        </is>
      </c>
      <c r="B22" s="5" t="inlineStr">
        <is>
          <t>品質</t>
        </is>
      </c>
      <c r="C22" s="5" t="inlineStr">
        <is>
          <t>取材記事の実名化</t>
        </is>
      </c>
      <c r="D22" s="5" t="inlineStr">
        <is>
          <t>社名が仮名(○○工務店)</t>
        </is>
      </c>
      <c r="E22" s="5" t="inlineStr">
        <is>
          <t>掲載許可交渉→実名差し替え</t>
        </is>
      </c>
      <c r="F22" s="5" t="inlineStr">
        <is>
          <t>実名化済み記事</t>
        </is>
      </c>
      <c r="G22" s="5" t="inlineStr">
        <is>
          <t>コンテンツ</t>
        </is>
      </c>
      <c r="H22" s="18" t="inlineStr">
        <is>
          <t>高</t>
        </is>
      </c>
      <c r="I22" s="5" t="inlineStr">
        <is>
          <t>04/07</t>
        </is>
      </c>
      <c r="J22" s="5" t="inlineStr">
        <is>
          <t>04/18</t>
        </is>
      </c>
      <c r="K22" s="16" t="inlineStr">
        <is>
          <t>未着手</t>
        </is>
      </c>
      <c r="L22" s="5" t="n">
        <v>0</v>
      </c>
      <c r="M22" s="5" t="inlineStr">
        <is>
          <t>D</t>
        </is>
      </c>
      <c r="N22" s="5" t="n"/>
      <c r="O22" s="5" t="inlineStr">
        <is>
          <t>2026-03-22</t>
        </is>
      </c>
    </row>
    <row r="23">
      <c r="A23" s="5" t="inlineStr">
        <is>
          <t>T-22</t>
        </is>
      </c>
      <c r="B23" s="5" t="inlineStr">
        <is>
          <t>コンテンツ</t>
        </is>
      </c>
      <c r="C23" s="5" t="inlineStr">
        <is>
          <t>月次コンテンツカレンダー</t>
        </is>
      </c>
      <c r="D23" s="5" t="inlineStr">
        <is>
          <t>制作計画がない</t>
        </is>
      </c>
      <c r="E23" s="5" t="inlineStr">
        <is>
          <t>月次で記事3+動画4+ニュース2の計画</t>
        </is>
      </c>
      <c r="F23" s="5" t="inlineStr">
        <is>
          <t>カレンダー</t>
        </is>
      </c>
      <c r="G23" s="5" t="inlineStr">
        <is>
          <t>コンテンツ</t>
        </is>
      </c>
      <c r="H23" s="19" t="inlineStr">
        <is>
          <t>中</t>
        </is>
      </c>
      <c r="I23" s="5" t="inlineStr">
        <is>
          <t>04/21</t>
        </is>
      </c>
      <c r="J23" s="5" t="inlineStr">
        <is>
          <t>04/28</t>
        </is>
      </c>
      <c r="K23" s="9" t="inlineStr">
        <is>
          <t>完了</t>
        </is>
      </c>
      <c r="L23" s="5" t="n">
        <v>1</v>
      </c>
      <c r="M23" s="5" t="inlineStr">
        <is>
          <t>B</t>
        </is>
      </c>
      <c r="N23" s="5" t="n"/>
      <c r="O23" s="5" t="inlineStr">
        <is>
          <t>2026-03-22</t>
        </is>
      </c>
    </row>
    <row r="24">
      <c r="A24" s="5" t="inlineStr">
        <is>
          <t>T-23</t>
        </is>
      </c>
      <c r="B24" s="5" t="inlineStr">
        <is>
          <t>コンテンツ</t>
        </is>
      </c>
      <c r="C24" s="5" t="inlineStr">
        <is>
          <t>比較コンテンツ制作</t>
        </is>
      </c>
      <c r="D24" s="5" t="inlineStr">
        <is>
          <t>比較記事がない</t>
        </is>
      </c>
      <c r="E24" s="5" t="inlineStr">
        <is>
          <t>工務店比較/性能比較記事3本制作</t>
        </is>
      </c>
      <c r="F24" s="5" t="inlineStr">
        <is>
          <t>比較記事3本</t>
        </is>
      </c>
      <c r="G24" s="5" t="inlineStr">
        <is>
          <t>コンテンツ</t>
        </is>
      </c>
      <c r="H24" s="19" t="inlineStr">
        <is>
          <t>中</t>
        </is>
      </c>
      <c r="I24" s="5" t="inlineStr">
        <is>
          <t>05/18</t>
        </is>
      </c>
      <c r="J24" s="5" t="inlineStr">
        <is>
          <t>06/15</t>
        </is>
      </c>
      <c r="K24" s="9" t="inlineStr">
        <is>
          <t>完了</t>
        </is>
      </c>
      <c r="L24" s="5" t="n">
        <v>1</v>
      </c>
      <c r="M24" s="5" t="inlineStr">
        <is>
          <t>B</t>
        </is>
      </c>
      <c r="N24" s="5" t="n"/>
      <c r="O24" s="5" t="inlineStr">
        <is>
          <t>2026-03-22</t>
        </is>
      </c>
    </row>
    <row r="25">
      <c r="A25" s="5" t="inlineStr">
        <is>
          <t>T-24</t>
        </is>
      </c>
      <c r="B25" s="5" t="inlineStr">
        <is>
          <t>コンテンツ</t>
        </is>
      </c>
      <c r="C25" s="5" t="inlineStr">
        <is>
          <t>AIチャット用FAQ整理</t>
        </is>
      </c>
      <c r="D25" s="5" t="inlineStr">
        <is>
          <t>AI回答精度の知識ベース未整理</t>
        </is>
      </c>
      <c r="E25" s="5" t="inlineStr">
        <is>
          <t>FAQ50問+工務店ナレッジ整理</t>
        </is>
      </c>
      <c r="F25" s="5" t="inlineStr">
        <is>
          <t>FAQ一覧</t>
        </is>
      </c>
      <c r="G25" s="5" t="inlineStr">
        <is>
          <t>コンテンツ</t>
        </is>
      </c>
      <c r="H25" s="19" t="inlineStr">
        <is>
          <t>中</t>
        </is>
      </c>
      <c r="I25" s="5" t="inlineStr">
        <is>
          <t>05/25</t>
        </is>
      </c>
      <c r="J25" s="5" t="inlineStr">
        <is>
          <t>06/08</t>
        </is>
      </c>
      <c r="K25" s="9" t="inlineStr">
        <is>
          <t>完了</t>
        </is>
      </c>
      <c r="L25" s="5" t="n">
        <v>1</v>
      </c>
      <c r="M25" s="5" t="inlineStr">
        <is>
          <t>A</t>
        </is>
      </c>
      <c r="N25" s="5" t="n"/>
      <c r="O25" s="5" t="inlineStr">
        <is>
          <t>2026-03-22</t>
        </is>
      </c>
    </row>
    <row r="26">
      <c r="A26" s="5" t="inlineStr">
        <is>
          <t>T-25</t>
        </is>
      </c>
      <c r="B26" s="5" t="inlineStr">
        <is>
          <t>品質</t>
        </is>
      </c>
      <c r="C26" s="5" t="inlineStr">
        <is>
          <t>掲載基準・フォーマット策定</t>
        </is>
      </c>
      <c r="D26" s="5" t="inlineStr">
        <is>
          <t>掲載基準がない</t>
        </is>
      </c>
      <c r="E26" s="5" t="inlineStr">
        <is>
          <t>必須/推奨項目・表現ルール策定</t>
        </is>
      </c>
      <c r="F26" s="5" t="inlineStr">
        <is>
          <t>掲載基準書</t>
        </is>
      </c>
      <c r="G26" s="5" t="inlineStr">
        <is>
          <t>コンテンツ</t>
        </is>
      </c>
      <c r="H26" s="18" t="inlineStr">
        <is>
          <t>高</t>
        </is>
      </c>
      <c r="I26" s="5" t="inlineStr">
        <is>
          <t>03/24</t>
        </is>
      </c>
      <c r="J26" s="5" t="inlineStr">
        <is>
          <t>03/31</t>
        </is>
      </c>
      <c r="K26" s="9" t="inlineStr">
        <is>
          <t>完了</t>
        </is>
      </c>
      <c r="L26" s="5" t="n">
        <v>1</v>
      </c>
      <c r="M26" s="5" t="inlineStr">
        <is>
          <t>B</t>
        </is>
      </c>
      <c r="N26" s="5" t="n"/>
      <c r="O26" s="5" t="inlineStr">
        <is>
          <t>2026-03-22</t>
        </is>
      </c>
    </row>
    <row r="27">
      <c r="A27" s="5" t="inlineStr">
        <is>
          <t>T-26</t>
        </is>
      </c>
      <c r="B27" s="5" t="inlineStr">
        <is>
          <t>品質</t>
        </is>
      </c>
      <c r="C27" s="5" t="inlineStr">
        <is>
          <t>全ページ文言監査</t>
        </is>
      </c>
      <c r="D27" s="5" t="inlineStr">
        <is>
          <t>品質・一貫性が未確認</t>
        </is>
      </c>
      <c r="E27" s="5" t="inlineStr">
        <is>
          <t>全ページ巡回→問題リスト化</t>
        </is>
      </c>
      <c r="F27" s="5" t="inlineStr">
        <is>
          <t>監査シート</t>
        </is>
      </c>
      <c r="G27" s="5" t="inlineStr">
        <is>
          <t>コンテンツ</t>
        </is>
      </c>
      <c r="H27" s="18" t="inlineStr">
        <is>
          <t>高</t>
        </is>
      </c>
      <c r="I27" s="5" t="inlineStr">
        <is>
          <t>03/24</t>
        </is>
      </c>
      <c r="J27" s="5" t="inlineStr">
        <is>
          <t>04/07</t>
        </is>
      </c>
      <c r="K27" s="9" t="inlineStr">
        <is>
          <t>完了</t>
        </is>
      </c>
      <c r="L27" s="5" t="n">
        <v>1</v>
      </c>
      <c r="M27" s="5" t="inlineStr">
        <is>
          <t>B</t>
        </is>
      </c>
      <c r="N27" s="5" t="n"/>
      <c r="O27" s="5" t="inlineStr">
        <is>
          <t>2026-03-22</t>
        </is>
      </c>
    </row>
    <row r="28">
      <c r="A28" s="5" t="inlineStr">
        <is>
          <t>T-27</t>
        </is>
      </c>
      <c r="B28" s="5" t="inlineStr">
        <is>
          <t>品質</t>
        </is>
      </c>
      <c r="C28" s="5" t="inlineStr">
        <is>
          <t>再ヒアリング項目整理</t>
        </is>
      </c>
      <c r="D28" s="5" t="inlineStr">
        <is>
          <t>不足情報の整理</t>
        </is>
      </c>
      <c r="E28" s="5" t="inlineStr">
        <is>
          <t>質問シート作成</t>
        </is>
      </c>
      <c r="F28" s="5" t="inlineStr">
        <is>
          <t>質問シート</t>
        </is>
      </c>
      <c r="G28" s="5" t="inlineStr">
        <is>
          <t>コンテンツ</t>
        </is>
      </c>
      <c r="H28" s="18" t="inlineStr">
        <is>
          <t>高</t>
        </is>
      </c>
      <c r="I28" s="5" t="inlineStr">
        <is>
          <t>03/31</t>
        </is>
      </c>
      <c r="J28" s="5" t="inlineStr">
        <is>
          <t>04/07</t>
        </is>
      </c>
      <c r="K28" s="9" t="inlineStr">
        <is>
          <t>完了</t>
        </is>
      </c>
      <c r="L28" s="5" t="n">
        <v>1</v>
      </c>
      <c r="M28" s="5" t="inlineStr">
        <is>
          <t>B</t>
        </is>
      </c>
      <c r="N28" s="5" t="n"/>
      <c r="O28" s="5" t="inlineStr">
        <is>
          <t>2026-03-22</t>
        </is>
      </c>
    </row>
    <row r="29">
      <c r="A29" s="5" t="inlineStr">
        <is>
          <t>T-28</t>
        </is>
      </c>
      <c r="B29" s="5" t="inlineStr">
        <is>
          <t>品質</t>
        </is>
      </c>
      <c r="C29" s="5" t="inlineStr">
        <is>
          <t>工務店再ヒアリング実施</t>
        </is>
      </c>
      <c r="D29" s="5" t="inlineStr">
        <is>
          <t>実データ化のため</t>
        </is>
      </c>
      <c r="E29" s="5" t="inlineStr">
        <is>
          <t>パートナー候補にヒアリング</t>
        </is>
      </c>
      <c r="F29" s="5" t="inlineStr">
        <is>
          <t>記録</t>
        </is>
      </c>
      <c r="G29" s="5" t="inlineStr">
        <is>
          <t>営業</t>
        </is>
      </c>
      <c r="H29" s="18" t="inlineStr">
        <is>
          <t>高</t>
        </is>
      </c>
      <c r="I29" s="5" t="inlineStr">
        <is>
          <t>04/07</t>
        </is>
      </c>
      <c r="J29" s="5" t="inlineStr">
        <is>
          <t>04/21</t>
        </is>
      </c>
      <c r="K29" s="16" t="inlineStr">
        <is>
          <t>未着手</t>
        </is>
      </c>
      <c r="L29" s="5" t="n">
        <v>0</v>
      </c>
      <c r="M29" s="5" t="inlineStr">
        <is>
          <t>D</t>
        </is>
      </c>
      <c r="N29" s="5" t="n"/>
      <c r="O29" s="5" t="inlineStr">
        <is>
          <t>2026-03-22</t>
        </is>
      </c>
    </row>
    <row r="30">
      <c r="A30" s="5" t="inlineStr">
        <is>
          <t>T-29</t>
        </is>
      </c>
      <c r="B30" s="5" t="inlineStr">
        <is>
          <t>品質</t>
        </is>
      </c>
      <c r="C30" s="5" t="inlineStr">
        <is>
          <t>リライト実施(優先5件)</t>
        </is>
      </c>
      <c r="D30" s="5" t="inlineStr">
        <is>
          <t>品質改善</t>
        </is>
      </c>
      <c r="E30" s="5" t="inlineStr">
        <is>
          <t>監査結果→リライト→公開</t>
        </is>
      </c>
      <c r="F30" s="5" t="inlineStr">
        <is>
          <t>リライト完了</t>
        </is>
      </c>
      <c r="G30" s="5" t="inlineStr">
        <is>
          <t>コンテンツ</t>
        </is>
      </c>
      <c r="H30" s="19" t="inlineStr">
        <is>
          <t>中</t>
        </is>
      </c>
      <c r="I30" s="5" t="inlineStr">
        <is>
          <t>04/14</t>
        </is>
      </c>
      <c r="J30" s="5" t="inlineStr">
        <is>
          <t>04/25</t>
        </is>
      </c>
      <c r="K30" s="16" t="inlineStr">
        <is>
          <t>未着手</t>
        </is>
      </c>
      <c r="L30" s="5" t="n">
        <v>0</v>
      </c>
      <c r="M30" s="5" t="inlineStr">
        <is>
          <t>B</t>
        </is>
      </c>
      <c r="N30" s="5" t="n"/>
      <c r="O30" s="5" t="inlineStr">
        <is>
          <t>2026-03-22</t>
        </is>
      </c>
    </row>
    <row r="31">
      <c r="A31" s="5" t="inlineStr">
        <is>
          <t>T-30</t>
        </is>
      </c>
      <c r="B31" s="5" t="inlineStr">
        <is>
          <t>品質</t>
        </is>
      </c>
      <c r="C31" s="5" t="inlineStr">
        <is>
          <t>SEOメタデータ一括入力</t>
        </is>
      </c>
      <c r="D31" s="5" t="inlineStr">
        <is>
          <t>メタデータ大部分未入力</t>
        </is>
      </c>
      <c r="E31" s="5" t="inlineStr">
        <is>
          <t>AI一括生成(80件)→レビュー</t>
        </is>
      </c>
      <c r="F31" s="5" t="inlineStr">
        <is>
          <t>入力完了</t>
        </is>
      </c>
      <c r="G31" s="5" t="inlineStr">
        <is>
          <t>コンテンツ</t>
        </is>
      </c>
      <c r="H31" s="19" t="inlineStr">
        <is>
          <t>中</t>
        </is>
      </c>
      <c r="I31" s="5" t="inlineStr">
        <is>
          <t>04/21</t>
        </is>
      </c>
      <c r="J31" s="5" t="inlineStr">
        <is>
          <t>05/02</t>
        </is>
      </c>
      <c r="K31" s="9" t="inlineStr">
        <is>
          <t>完了</t>
        </is>
      </c>
      <c r="L31" s="5" t="n">
        <v>1</v>
      </c>
      <c r="M31" s="5" t="inlineStr">
        <is>
          <t>A</t>
        </is>
      </c>
      <c r="N31" s="5" t="n"/>
      <c r="O31" s="5" t="inlineStr">
        <is>
          <t>2026-03-22</t>
        </is>
      </c>
    </row>
    <row r="32">
      <c r="A32" s="5" t="inlineStr">
        <is>
          <t>T-31</t>
        </is>
      </c>
      <c r="B32" s="5" t="inlineStr">
        <is>
          <t>品質</t>
        </is>
      </c>
      <c r="C32" s="5" t="inlineStr">
        <is>
          <t>マガジン表紙画像制作</t>
        </is>
      </c>
      <c r="D32" s="5" t="inlineStr">
        <is>
          <t>表紙画像が全号欠如</t>
        </is>
      </c>
      <c r="E32" s="5" t="inlineStr">
        <is>
          <t>デザイン制作(8点)</t>
        </is>
      </c>
      <c r="F32" s="5" t="inlineStr">
        <is>
          <t>表紙画像8点</t>
        </is>
      </c>
      <c r="G32" s="5" t="inlineStr">
        <is>
          <t>コンテンツ</t>
        </is>
      </c>
      <c r="H32" s="19" t="inlineStr">
        <is>
          <t>中</t>
        </is>
      </c>
      <c r="I32" s="5" t="inlineStr">
        <is>
          <t>04/28</t>
        </is>
      </c>
      <c r="J32" s="5" t="inlineStr">
        <is>
          <t>05/15</t>
        </is>
      </c>
      <c r="K32" s="16" t="inlineStr">
        <is>
          <t>未着手</t>
        </is>
      </c>
      <c r="L32" s="5" t="n">
        <v>0</v>
      </c>
      <c r="M32" s="5" t="inlineStr">
        <is>
          <t>C</t>
        </is>
      </c>
      <c r="N32" s="5" t="n"/>
      <c r="O32" s="5" t="inlineStr">
        <is>
          <t>2026-03-22</t>
        </is>
      </c>
    </row>
    <row r="33">
      <c r="A33" s="5" t="inlineStr">
        <is>
          <t>T-32</t>
        </is>
      </c>
      <c r="B33" s="5" t="inlineStr">
        <is>
          <t>オペ</t>
        </is>
      </c>
      <c r="C33" s="5" t="inlineStr">
        <is>
          <t>問い合わせ対応フロー設計</t>
        </is>
      </c>
      <c r="D33" s="5" t="inlineStr">
        <is>
          <t>対応フローがない</t>
        </is>
      </c>
      <c r="E33" s="5" t="inlineStr">
        <is>
          <t>受信→対応→紹介→フォロー設計</t>
        </is>
      </c>
      <c r="F33" s="5" t="inlineStr">
        <is>
          <t>フロー図+マニュアル</t>
        </is>
      </c>
      <c r="G33" s="5" t="inlineStr">
        <is>
          <t>経営</t>
        </is>
      </c>
      <c r="H33" s="18" t="inlineStr">
        <is>
          <t>高</t>
        </is>
      </c>
      <c r="I33" s="5" t="inlineStr">
        <is>
          <t>03/24</t>
        </is>
      </c>
      <c r="J33" s="5" t="inlineStr">
        <is>
          <t>04/04</t>
        </is>
      </c>
      <c r="K33" s="9" t="inlineStr">
        <is>
          <t>完了</t>
        </is>
      </c>
      <c r="L33" s="5" t="n">
        <v>1</v>
      </c>
      <c r="M33" s="5" t="inlineStr">
        <is>
          <t>B</t>
        </is>
      </c>
      <c r="N33" s="5" t="n"/>
      <c r="O33" s="5" t="inlineStr">
        <is>
          <t>2026-03-22</t>
        </is>
      </c>
    </row>
    <row r="34">
      <c r="A34" s="5" t="inlineStr">
        <is>
          <t>T-33</t>
        </is>
      </c>
      <c r="B34" s="5" t="inlineStr">
        <is>
          <t>オペ</t>
        </is>
      </c>
      <c r="C34" s="5" t="inlineStr">
        <is>
          <t>反響受け渡しフロー設計</t>
        </is>
      </c>
      <c r="D34" s="5" t="inlineStr">
        <is>
          <t>リード共有の仕組みなし</t>
        </is>
      </c>
      <c r="E34" s="5" t="inlineStr">
        <is>
          <t>共有方法・タイミング・フォーマット設計</t>
        </is>
      </c>
      <c r="F34" s="5" t="inlineStr">
        <is>
          <t>フロー図</t>
        </is>
      </c>
      <c r="G34" s="5" t="inlineStr">
        <is>
          <t>経営</t>
        </is>
      </c>
      <c r="H34" s="18" t="inlineStr">
        <is>
          <t>高</t>
        </is>
      </c>
      <c r="I34" s="5" t="inlineStr">
        <is>
          <t>04/14</t>
        </is>
      </c>
      <c r="J34" s="5" t="inlineStr">
        <is>
          <t>04/21</t>
        </is>
      </c>
      <c r="K34" s="9" t="inlineStr">
        <is>
          <t>完了</t>
        </is>
      </c>
      <c r="L34" s="5" t="n">
        <v>1</v>
      </c>
      <c r="M34" s="5" t="inlineStr">
        <is>
          <t>B</t>
        </is>
      </c>
      <c r="N34" s="5" t="n"/>
      <c r="O34" s="5" t="inlineStr">
        <is>
          <t>2026-03-22</t>
        </is>
      </c>
    </row>
    <row r="35">
      <c r="A35" s="5" t="inlineStr">
        <is>
          <t>T-34</t>
        </is>
      </c>
      <c r="B35" s="5" t="inlineStr">
        <is>
          <t>オペ</t>
        </is>
      </c>
      <c r="C35" s="5" t="inlineStr">
        <is>
          <t>SLA設定</t>
        </is>
      </c>
      <c r="D35" s="5" t="inlineStr">
        <is>
          <t>対応スピード基準なし</t>
        </is>
      </c>
      <c r="E35" s="5" t="inlineStr">
        <is>
          <t>初期対応時間・紹介までの日数定義</t>
        </is>
      </c>
      <c r="F35" s="5" t="inlineStr">
        <is>
          <t>SLA定義書</t>
        </is>
      </c>
      <c r="G35" s="5" t="inlineStr">
        <is>
          <t>経営</t>
        </is>
      </c>
      <c r="H35" s="19" t="inlineStr">
        <is>
          <t>中</t>
        </is>
      </c>
      <c r="I35" s="5" t="inlineStr">
        <is>
          <t>06/01</t>
        </is>
      </c>
      <c r="J35" s="5" t="inlineStr">
        <is>
          <t>06/08</t>
        </is>
      </c>
      <c r="K35" s="9" t="inlineStr">
        <is>
          <t>完了</t>
        </is>
      </c>
      <c r="L35" s="5" t="n">
        <v>1</v>
      </c>
      <c r="M35" s="5" t="inlineStr">
        <is>
          <t>C</t>
        </is>
      </c>
      <c r="N35" s="5" t="n"/>
      <c r="O35" s="5" t="inlineStr">
        <is>
          <t>2026-03-22</t>
        </is>
      </c>
    </row>
    <row r="36">
      <c r="A36" s="5" t="inlineStr">
        <is>
          <t>T-35</t>
        </is>
      </c>
      <c r="B36" s="5" t="inlineStr">
        <is>
          <t>収益</t>
        </is>
      </c>
      <c r="C36" s="5" t="inlineStr">
        <is>
          <t>初期プラン価格確定</t>
        </is>
      </c>
      <c r="D36" s="5" t="inlineStr">
        <is>
          <t>料金が仮設定</t>
        </is>
      </c>
      <c r="E36" s="5" t="inlineStr">
        <is>
          <t>競合調査→原価計算→3プラン価格確定</t>
        </is>
      </c>
      <c r="F36" s="5" t="inlineStr">
        <is>
          <t>確定料金プラン</t>
        </is>
      </c>
      <c r="G36" s="5" t="inlineStr">
        <is>
          <t>経営</t>
        </is>
      </c>
      <c r="H36" s="18" t="inlineStr">
        <is>
          <t>高</t>
        </is>
      </c>
      <c r="I36" s="5" t="inlineStr">
        <is>
          <t>03/31</t>
        </is>
      </c>
      <c r="J36" s="5" t="inlineStr">
        <is>
          <t>04/07</t>
        </is>
      </c>
      <c r="K36" s="16" t="inlineStr">
        <is>
          <t>未着手</t>
        </is>
      </c>
      <c r="L36" s="5" t="n">
        <v>0</v>
      </c>
      <c r="M36" s="5" t="inlineStr">
        <is>
          <t>D</t>
        </is>
      </c>
      <c r="N36" s="5" t="n"/>
      <c r="O36" s="5" t="inlineStr">
        <is>
          <t>2026-03-22</t>
        </is>
      </c>
    </row>
    <row r="37">
      <c r="A37" s="5" t="inlineStr">
        <is>
          <t>T-36</t>
        </is>
      </c>
      <c r="B37" s="5" t="inlineStr">
        <is>
          <t>収益</t>
        </is>
      </c>
      <c r="C37" s="5" t="inlineStr">
        <is>
          <t>初期パートナー1社獲得</t>
        </is>
      </c>
      <c r="D37" s="5" t="inlineStr">
        <is>
          <t>売上実績ゼロ</t>
        </is>
      </c>
      <c r="E37" s="5" t="inlineStr">
        <is>
          <t>取材先から有料パートナー獲得</t>
        </is>
      </c>
      <c r="F37" s="5" t="inlineStr">
        <is>
          <t>契約書+請求書</t>
        </is>
      </c>
      <c r="G37" s="5" t="inlineStr">
        <is>
          <t>経営</t>
        </is>
      </c>
      <c r="H37" s="18" t="inlineStr">
        <is>
          <t>高</t>
        </is>
      </c>
      <c r="I37" s="5" t="inlineStr">
        <is>
          <t>04/14</t>
        </is>
      </c>
      <c r="J37" s="5" t="inlineStr">
        <is>
          <t>04/25</t>
        </is>
      </c>
      <c r="K37" s="16" t="inlineStr">
        <is>
          <t>未着手</t>
        </is>
      </c>
      <c r="L37" s="5" t="n">
        <v>0</v>
      </c>
      <c r="M37" s="5" t="inlineStr">
        <is>
          <t>D</t>
        </is>
      </c>
      <c r="N37" s="5" t="n"/>
      <c r="O37" s="5" t="inlineStr">
        <is>
          <t>2026-03-22</t>
        </is>
      </c>
    </row>
    <row r="38">
      <c r="A38" s="5" t="inlineStr">
        <is>
          <t>T-37</t>
        </is>
      </c>
      <c r="B38" s="5" t="inlineStr">
        <is>
          <t>収益</t>
        </is>
      </c>
      <c r="C38" s="5" t="inlineStr">
        <is>
          <t>請求・入金フロー構築</t>
        </is>
      </c>
      <c r="D38" s="5" t="inlineStr">
        <is>
          <t>請求の仕組みなし</t>
        </is>
      </c>
      <c r="E38" s="5" t="inlineStr">
        <is>
          <t>請求書発行→入金確認→消込</t>
        </is>
      </c>
      <c r="F38" s="5" t="inlineStr">
        <is>
          <t>フロー+テンプレート</t>
        </is>
      </c>
      <c r="G38" s="5" t="inlineStr">
        <is>
          <t>経営</t>
        </is>
      </c>
      <c r="H38" s="19" t="inlineStr">
        <is>
          <t>中</t>
        </is>
      </c>
      <c r="I38" s="5" t="inlineStr">
        <is>
          <t>04/28</t>
        </is>
      </c>
      <c r="J38" s="5" t="inlineStr">
        <is>
          <t>05/09</t>
        </is>
      </c>
      <c r="K38" s="9" t="inlineStr">
        <is>
          <t>完了</t>
        </is>
      </c>
      <c r="L38" s="5" t="n">
        <v>1</v>
      </c>
      <c r="M38" s="5" t="inlineStr">
        <is>
          <t>B</t>
        </is>
      </c>
      <c r="N38" s="5" t="n"/>
      <c r="O38" s="5" t="inlineStr">
        <is>
          <t>2026-03-22</t>
        </is>
      </c>
    </row>
    <row r="39">
      <c r="A39" s="5" t="inlineStr">
        <is>
          <t>T-38</t>
        </is>
      </c>
      <c r="B39" s="5" t="inlineStr">
        <is>
          <t>計測</t>
        </is>
      </c>
      <c r="C39" s="5" t="inlineStr">
        <is>
          <t>週次KPIレポート開始</t>
        </is>
      </c>
      <c r="D39" s="5" t="inlineStr">
        <is>
          <t>KPIを追う習慣なし</t>
        </is>
      </c>
      <c r="E39" s="5" t="inlineStr">
        <is>
          <t>毎週月曜15分ミーティング設定</t>
        </is>
      </c>
      <c r="F39" s="5" t="inlineStr">
        <is>
          <t>テンプレート+会議体</t>
        </is>
      </c>
      <c r="G39" s="5" t="inlineStr">
        <is>
          <t>PM</t>
        </is>
      </c>
      <c r="H39" s="18" t="inlineStr">
        <is>
          <t>高</t>
        </is>
      </c>
      <c r="I39" s="5" t="inlineStr">
        <is>
          <t>04/14</t>
        </is>
      </c>
      <c r="J39" s="5" t="inlineStr">
        <is>
          <t>04/21</t>
        </is>
      </c>
      <c r="K39" s="9" t="inlineStr">
        <is>
          <t>完了</t>
        </is>
      </c>
      <c r="L39" s="5" t="n">
        <v>1</v>
      </c>
      <c r="M39" s="5" t="inlineStr">
        <is>
          <t>A</t>
        </is>
      </c>
      <c r="N39" s="5" t="n"/>
      <c r="O39" s="5" t="inlineStr">
        <is>
          <t>2026-03-22</t>
        </is>
      </c>
    </row>
    <row r="40">
      <c r="A40" s="5" t="inlineStr">
        <is>
          <t>T-39</t>
        </is>
      </c>
      <c r="B40" s="5" t="inlineStr">
        <is>
          <t>計測</t>
        </is>
      </c>
      <c r="C40" s="5" t="inlineStr">
        <is>
          <t>月次レビュー会議設定</t>
        </is>
      </c>
      <c r="D40" s="5" t="inlineStr">
        <is>
          <t>月次振り返りの場なし</t>
        </is>
      </c>
      <c r="E40" s="5" t="inlineStr">
        <is>
          <t>毎月末1時間の定型会議</t>
        </is>
      </c>
      <c r="F40" s="5" t="inlineStr">
        <is>
          <t>アジェンダテンプレート</t>
        </is>
      </c>
      <c r="G40" s="5" t="inlineStr">
        <is>
          <t>PM</t>
        </is>
      </c>
      <c r="H40" s="19" t="inlineStr">
        <is>
          <t>中</t>
        </is>
      </c>
      <c r="I40" s="5" t="inlineStr">
        <is>
          <t>05/04</t>
        </is>
      </c>
      <c r="J40" s="5" t="inlineStr">
        <is>
          <t>05/11</t>
        </is>
      </c>
      <c r="K40" s="9" t="inlineStr">
        <is>
          <t>完了</t>
        </is>
      </c>
      <c r="L40" s="5" t="n">
        <v>1</v>
      </c>
      <c r="M40" s="5" t="inlineStr">
        <is>
          <t>A</t>
        </is>
      </c>
      <c r="N40" s="5" t="n"/>
      <c r="O40" s="5" t="inlineStr">
        <is>
          <t>2026-03-22</t>
        </is>
      </c>
    </row>
    <row r="41">
      <c r="A41" s="5" t="inlineStr">
        <is>
          <t>T-40</t>
        </is>
      </c>
      <c r="B41" s="5" t="inlineStr">
        <is>
          <t>戦略</t>
        </is>
      </c>
      <c r="C41" s="5" t="inlineStr">
        <is>
          <t>四半期マイルストーン設定</t>
        </is>
      </c>
      <c r="D41" s="5" t="inlineStr">
        <is>
          <t>四半期目標がない</t>
        </is>
      </c>
      <c r="E41" s="5" t="inlineStr">
        <is>
          <t>Q2/Q3/Q4の売上/パートナー/ユーザー目標</t>
        </is>
      </c>
      <c r="F41" s="5" t="inlineStr">
        <is>
          <t>マイルストーン表</t>
        </is>
      </c>
      <c r="G41" s="5" t="inlineStr">
        <is>
          <t>経営</t>
        </is>
      </c>
      <c r="H41" s="18" t="inlineStr">
        <is>
          <t>高</t>
        </is>
      </c>
      <c r="I41" s="5" t="inlineStr">
        <is>
          <t>03/31</t>
        </is>
      </c>
      <c r="J41" s="5" t="inlineStr">
        <is>
          <t>04/07</t>
        </is>
      </c>
      <c r="K41" s="16" t="inlineStr">
        <is>
          <t>未着手</t>
        </is>
      </c>
      <c r="L41" s="5" t="n">
        <v>0</v>
      </c>
      <c r="M41" s="5" t="inlineStr">
        <is>
          <t>C</t>
        </is>
      </c>
      <c r="N41" s="5" t="n"/>
      <c r="O41" s="5" t="inlineStr">
        <is>
          <t>2026-03-22</t>
        </is>
      </c>
    </row>
    <row r="42">
      <c r="A42" s="5" t="inlineStr">
        <is>
          <t>T-41</t>
        </is>
      </c>
      <c r="B42" s="5" t="inlineStr">
        <is>
          <t>戦略</t>
        </is>
      </c>
      <c r="C42" s="5" t="inlineStr">
        <is>
          <t>年間事業計画策定</t>
        </is>
      </c>
      <c r="D42" s="5" t="inlineStr">
        <is>
          <t>年間計画なし</t>
        </is>
      </c>
      <c r="E42" s="5" t="inlineStr">
        <is>
          <t>年間売上/投資/人員計画</t>
        </is>
      </c>
      <c r="F42" s="5" t="inlineStr">
        <is>
          <t>事業計画書</t>
        </is>
      </c>
      <c r="G42" s="5" t="inlineStr">
        <is>
          <t>経営</t>
        </is>
      </c>
      <c r="H42" s="19" t="inlineStr">
        <is>
          <t>中</t>
        </is>
      </c>
      <c r="I42" s="5" t="inlineStr">
        <is>
          <t>06/01</t>
        </is>
      </c>
      <c r="J42" s="5" t="inlineStr">
        <is>
          <t>06/15</t>
        </is>
      </c>
      <c r="K42" s="16" t="inlineStr">
        <is>
          <t>未着手</t>
        </is>
      </c>
      <c r="L42" s="5" t="n">
        <v>0</v>
      </c>
      <c r="M42" s="5" t="inlineStr">
        <is>
          <t>C</t>
        </is>
      </c>
      <c r="N42" s="5" t="n"/>
      <c r="O42" s="5" t="inlineStr">
        <is>
          <t>2026-03-22</t>
        </is>
      </c>
    </row>
    <row r="43">
      <c r="A43" s="5" t="inlineStr">
        <is>
          <t>T-42</t>
        </is>
      </c>
      <c r="B43" s="5" t="inlineStr">
        <is>
          <t>品質</t>
        </is>
      </c>
      <c r="C43" s="5" t="inlineStr">
        <is>
          <t>構造化データ入力</t>
        </is>
      </c>
      <c r="D43" s="5" t="inlineStr">
        <is>
          <t>AI推薦用データ入力ゼロ</t>
        </is>
      </c>
      <c r="E43" s="5" t="inlineStr">
        <is>
          <t>デザインテイスト/性能/顧客像を入力</t>
        </is>
      </c>
      <c r="F43" s="5" t="inlineStr">
        <is>
          <t>入力ガイド</t>
        </is>
      </c>
      <c r="G43" s="5" t="inlineStr">
        <is>
          <t>コンテンツ</t>
        </is>
      </c>
      <c r="H43" s="19" t="inlineStr">
        <is>
          <t>中</t>
        </is>
      </c>
      <c r="I43" s="5" t="inlineStr">
        <is>
          <t>05/04</t>
        </is>
      </c>
      <c r="J43" s="5" t="inlineStr">
        <is>
          <t>05/22</t>
        </is>
      </c>
      <c r="K43" s="16" t="inlineStr">
        <is>
          <t>未着手</t>
        </is>
      </c>
      <c r="L43" s="5" t="n">
        <v>0</v>
      </c>
      <c r="M43" s="5" t="inlineStr">
        <is>
          <t>B</t>
        </is>
      </c>
      <c r="N43" s="5" t="n"/>
      <c r="O43" s="5" t="inlineStr">
        <is>
          <t>2026-03-22</t>
        </is>
      </c>
    </row>
    <row r="44">
      <c r="A44" s="5" t="inlineStr">
        <is>
          <t>T-43</t>
        </is>
      </c>
      <c r="B44" s="5" t="inlineStr">
        <is>
          <t>品質</t>
        </is>
      </c>
      <c r="C44" s="5" t="inlineStr">
        <is>
          <t>継続的品質管理の運用設計</t>
        </is>
      </c>
      <c r="D44" s="5" t="inlineStr">
        <is>
          <t>劣化防止の仕組みなし</t>
        </is>
      </c>
      <c r="E44" s="5" t="inlineStr">
        <is>
          <t>四半期レビュー/年次更新フロー設計</t>
        </is>
      </c>
      <c r="F44" s="5" t="inlineStr">
        <is>
          <t>運用フロー</t>
        </is>
      </c>
      <c r="G44" s="5" t="inlineStr">
        <is>
          <t>PM</t>
        </is>
      </c>
      <c r="H44" s="5" t="inlineStr">
        <is>
          <t>低</t>
        </is>
      </c>
      <c r="I44" s="5" t="inlineStr">
        <is>
          <t>06/08</t>
        </is>
      </c>
      <c r="J44" s="5" t="inlineStr">
        <is>
          <t>06/22</t>
        </is>
      </c>
      <c r="K44" s="9" t="inlineStr">
        <is>
          <t>完了</t>
        </is>
      </c>
      <c r="L44" s="5" t="n">
        <v>1</v>
      </c>
      <c r="M44" s="5" t="inlineStr">
        <is>
          <t>B</t>
        </is>
      </c>
      <c r="N44" s="5" t="n"/>
      <c r="O44" s="5" t="inlineStr">
        <is>
          <t>2026-03-22</t>
        </is>
      </c>
    </row>
    <row r="45">
      <c r="A45" s="5" t="inlineStr">
        <is>
          <t>T-44</t>
        </is>
      </c>
      <c r="B45" s="5" t="inlineStr">
        <is>
          <t>品質</t>
        </is>
      </c>
      <c r="C45" s="5" t="inlineStr">
        <is>
          <t>物件ページ画像整備</t>
        </is>
      </c>
      <c r="D45" s="5" t="inlineStr">
        <is>
          <t>写真がプレースホルダー</t>
        </is>
      </c>
      <c r="E45" s="5" t="inlineStr">
        <is>
          <t>実写真撮影/収集→差し替え</t>
        </is>
      </c>
      <c r="F45" s="5" t="inlineStr">
        <is>
          <t>物件写真</t>
        </is>
      </c>
      <c r="G45" s="5" t="inlineStr">
        <is>
          <t>コンテンツ</t>
        </is>
      </c>
      <c r="H45" s="19" t="inlineStr">
        <is>
          <t>中</t>
        </is>
      </c>
      <c r="I45" s="5" t="inlineStr">
        <is>
          <t>05/18</t>
        </is>
      </c>
      <c r="J45" s="5" t="inlineStr">
        <is>
          <t>06/15</t>
        </is>
      </c>
      <c r="K45" s="16" t="inlineStr">
        <is>
          <t>未着手</t>
        </is>
      </c>
      <c r="L45" s="5" t="n">
        <v>0</v>
      </c>
      <c r="M45" s="5" t="inlineStr">
        <is>
          <t>D</t>
        </is>
      </c>
      <c r="N45" s="5" t="n"/>
      <c r="O45" s="5" t="inlineStr">
        <is>
          <t>2026-03-22</t>
        </is>
      </c>
    </row>
    <row r="46">
      <c r="A46" s="5" t="inlineStr">
        <is>
          <t>T-45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5" t="inlineStr">
        <is>
          <t>T-46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5" t="inlineStr">
        <is>
          <t>T-47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5" t="inlineStr">
        <is>
          <t>T-48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5" t="inlineStr">
        <is>
          <t>T-49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5" t="inlineStr">
        <is>
          <t>T-50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5" t="inlineStr">
        <is>
          <t>T-51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5" t="inlineStr">
        <is>
          <t>T-52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5" t="inlineStr">
        <is>
          <t>T-53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5" t="inlineStr">
        <is>
          <t>T-54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</sheetData>
  <dataValidations count="2">
    <dataValidation sqref="K2:K60" showDropDown="0" showInputMessage="0" showErrorMessage="0" allowBlank="1" type="list">
      <formula1>"未着手,進行中,確認中,完了,保留"</formula1>
    </dataValidation>
    <dataValidation sqref="H2:H60" showDropDown="0" showInputMessage="0" showErrorMessage="0" allowBlank="1" type="list">
      <formula1>"高,中,低"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BDEFB"/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5" customWidth="1" min="4" max="4"/>
    <col width="35" customWidth="1" min="5" max="5"/>
    <col width="10" customWidth="1" min="6" max="6"/>
    <col width="10" customWidth="1" min="7" max="7"/>
    <col width="10" customWidth="1" min="8" max="8"/>
    <col width="8" customWidth="1" min="9" max="9"/>
    <col width="12" customWidth="1" min="10" max="10"/>
    <col width="20" customWidth="1" min="11" max="11"/>
  </cols>
  <sheetData>
    <row r="1">
      <c r="A1" s="4" t="inlineStr">
        <is>
          <t>追加日</t>
        </is>
      </c>
      <c r="B1" s="4" t="inlineStr">
        <is>
          <t>起票者</t>
        </is>
      </c>
      <c r="C1" s="4" t="inlineStr">
        <is>
          <t>カテゴリ</t>
        </is>
      </c>
      <c r="D1" s="4" t="inlineStr">
        <is>
          <t>タスク名</t>
        </is>
      </c>
      <c r="E1" s="4" t="inlineStr">
        <is>
          <t>背景/目的</t>
        </is>
      </c>
      <c r="F1" s="4" t="inlineStr">
        <is>
          <t>優先度(仮)</t>
        </is>
      </c>
      <c r="G1" s="4" t="inlineStr">
        <is>
          <t>希望期限</t>
        </is>
      </c>
      <c r="H1" s="4" t="inlineStr">
        <is>
          <t>担当(案)</t>
        </is>
      </c>
      <c r="I1" s="4" t="inlineStr">
        <is>
          <t>承認</t>
        </is>
      </c>
      <c r="J1" s="4" t="inlineStr">
        <is>
          <t>Todo一覧に反映</t>
        </is>
      </c>
      <c r="K1" s="4" t="inlineStr">
        <is>
          <t>備考</t>
        </is>
      </c>
    </row>
    <row r="2">
      <c r="A2" s="20" t="n"/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</row>
    <row r="3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</row>
    <row r="4">
      <c r="A4" s="20" t="n"/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</row>
    <row r="5">
      <c r="A5" s="20" t="n"/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</row>
    <row r="6">
      <c r="A6" s="20" t="n"/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</row>
    <row r="7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</row>
    <row r="8">
      <c r="A8" s="20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</row>
    <row r="9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</row>
    <row r="1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</row>
    <row r="14">
      <c r="A14" s="20" t="n"/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</row>
    <row r="16">
      <c r="A16" s="20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8740C"/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</cols>
  <sheetData>
    <row r="1">
      <c r="A1" s="1" t="inlineStr">
        <is>
          <t>事業管理 使い方ガイド</t>
        </is>
      </c>
    </row>
    <row r="2">
      <c r="A2" s="2" t="inlineStr">
        <is>
          <t>ぺいほーむ事業全体のタスク管理・進捗管理ファイルです。毎週のKPIミーティングとタスク確認に使用します。</t>
        </is>
      </c>
    </row>
    <row r="4">
      <c r="A4" s="21" t="inlineStr">
        <is>
          <t>シート名</t>
        </is>
      </c>
      <c r="B4" s="21" t="inlineStr">
        <is>
          <t>用途・使い方</t>
        </is>
      </c>
      <c r="C4" s="21" t="inlineStr">
        <is>
          <t>更新頻度</t>
        </is>
      </c>
    </row>
    <row r="5">
      <c r="A5" s="7" t="inlineStr">
        <is>
          <t>ダッシュボード</t>
        </is>
      </c>
      <c r="B5" s="5" t="inlineStr">
        <is>
          <t>全体の進捗サマリー。カテゴリ別の完了率が自動計算される。毎週月曜に確認</t>
        </is>
      </c>
      <c r="C5" s="5" t="inlineStr">
        <is>
          <t>週次</t>
        </is>
      </c>
    </row>
    <row r="6">
      <c r="A6" s="7" t="inlineStr">
        <is>
          <t>ガントチャート</t>
        </is>
      </c>
      <c r="B6" s="5" t="inlineStr">
        <is>
          <t>12週間のタスクスケジュール。オレンジバーが稼働週。ステータスと進捗%を毎週更新</t>
        </is>
      </c>
      <c r="C6" s="5" t="inlineStr">
        <is>
          <t>週次</t>
        </is>
      </c>
    </row>
    <row r="7">
      <c r="A7" s="7" t="inlineStr">
        <is>
          <t>担当別Todo</t>
        </is>
      </c>
      <c r="B7" s="5" t="inlineStr">
        <is>
          <t>経営/営業/PM/マーケ/コンテンツの担当ごとにタスクを確認。「次のアクション」列が最重要</t>
        </is>
      </c>
      <c r="C7" s="5" t="inlineStr">
        <is>
          <t>週次</t>
        </is>
      </c>
    </row>
    <row r="8">
      <c r="A8" s="7" t="inlineStr">
        <is>
          <t>Todo詳細</t>
        </is>
      </c>
      <c r="B8" s="5" t="inlineStr">
        <is>
          <t>全44タスクの詳細情報。追加Todoは下部の空行に追記可能（T-45以降）</t>
        </is>
      </c>
      <c r="C8" s="5" t="inlineStr">
        <is>
          <t>随時</t>
        </is>
      </c>
    </row>
    <row r="9">
      <c r="A9" s="7" t="inlineStr">
        <is>
          <t>追加Todo受付</t>
        </is>
      </c>
      <c r="B9" s="5" t="inlineStr">
        <is>
          <t>新しいTodoが発生したらここに起票→経営承認→Todo詳細に転記</t>
        </is>
      </c>
      <c r="C9" s="5" t="inlineStr">
        <is>
          <t>随時</t>
        </is>
      </c>
    </row>
    <row r="11">
      <c r="A11" s="3" t="inlineStr">
        <is>
          <t>関連ファイル</t>
        </is>
      </c>
    </row>
    <row r="12">
      <c r="A12" s="5" t="inlineStr">
        <is>
          <t>payhome_project_management.xlsx</t>
        </is>
      </c>
      <c r="B12" s="5" t="inlineStr">
        <is>
          <t>事業全体のTodo・ガントチャート・進捗管理</t>
        </is>
      </c>
    </row>
    <row r="13">
      <c r="A13" s="5" t="inlineStr">
        <is>
          <t>payhome_sales.xlsx</t>
        </is>
      </c>
      <c r="B13" s="5" t="inlineStr">
        <is>
          <t>営業提案フロー・メールDM・工務店ヒアリング・ペルソナ</t>
        </is>
      </c>
    </row>
    <row r="14">
      <c r="A14" s="5" t="inlineStr">
        <is>
          <t>payhome_content.xlsx</t>
        </is>
      </c>
      <c r="B14" s="5" t="inlineStr">
        <is>
          <t>コンテンツカレンダー・YouTube戦略・動画企画・掲載監査</t>
        </is>
      </c>
    </row>
    <row r="15">
      <c r="A15" s="5" t="inlineStr">
        <is>
          <t>payhome_finance_kpi.xlsx</t>
        </is>
      </c>
      <c r="B15" s="5" t="inlineStr">
        <is>
          <t>月次P/L・KPIレポート・請求・データ活用ロードマップ</t>
        </is>
      </c>
    </row>
    <row r="16">
      <c r="A16" s="5" t="inlineStr">
        <is>
          <t>payhome_sales_deck.pptx</t>
        </is>
      </c>
      <c r="B16" s="5" t="inlineStr">
        <is>
          <t>営業提案書（PowerPoint）</t>
        </is>
      </c>
    </row>
    <row r="17">
      <c r="A17" s="5" t="inlineStr">
        <is>
          <t>contract_template.docx</t>
        </is>
      </c>
      <c r="B17" s="5" t="inlineStr">
        <is>
          <t>契約書テンプレート（Word）</t>
        </is>
      </c>
    </row>
    <row r="18">
      <c r="A18" s="5" t="inlineStr">
        <is>
          <t>listing_standards.docx</t>
        </is>
      </c>
      <c r="B18" s="5" t="inlineStr">
        <is>
          <t>掲載基準書・品質管理ガイド（Word）</t>
        </is>
      </c>
    </row>
    <row r="19">
      <c r="A19" s="5" t="inlineStr">
        <is>
          <t>operations_manual.docx</t>
        </is>
      </c>
      <c r="B19" s="5" t="inlineStr">
        <is>
          <t>オペレーションマニュアル（Word）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2026-03-22T00:14:18Z</dcterms:created>
  <dcterms:modified xmlns:dcterms="http://purl.org/dc/terms/" xmlns:xsi="http://www.w3.org/2001/XMLSchema-instance" xsi:type="dcterms:W3CDTF">2026-03-22T00:14:18Z</dcterms:modified>
</cp:coreProperties>
</file>